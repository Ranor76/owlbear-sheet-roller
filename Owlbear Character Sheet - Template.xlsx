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cter" sheetId="1" r:id="rId5"/>
    <sheet state="visible" name="Combat" sheetId="2" r:id="rId6"/>
    <sheet state="visible" name="Features" sheetId="3" r:id="rId7"/>
    <sheet state="visible" name="Spells" sheetId="4" r:id="rId8"/>
    <sheet state="visible" name="Data" sheetId="5" r:id="rId9"/>
    <sheet state="visible" name="SpellData" sheetId="6" r:id="rId10"/>
    <sheet state="visible" name="Config" sheetId="7" r:id="rId11"/>
    <sheet state="visible" name="Notes" sheetId="8" r:id="rId12"/>
  </sheets>
  <definedNames/>
  <calcPr/>
</workbook>
</file>

<file path=xl/sharedStrings.xml><?xml version="1.0" encoding="utf-8"?>
<sst xmlns="http://schemas.openxmlformats.org/spreadsheetml/2006/main" count="872" uniqueCount="402">
  <si>
    <t>Character</t>
  </si>
  <si>
    <t>Combat</t>
  </si>
  <si>
    <t>Spells</t>
  </si>
  <si>
    <t>Show</t>
  </si>
  <si>
    <t>Fav</t>
  </si>
  <si>
    <t>Source</t>
  </si>
  <si>
    <t>Name</t>
  </si>
  <si>
    <t>Action</t>
  </si>
  <si>
    <t>Uses Current</t>
  </si>
  <si>
    <t>Uses Max</t>
  </si>
  <si>
    <t>Recharge</t>
  </si>
  <si>
    <t>Roll Formula</t>
  </si>
  <si>
    <t>Roll Label</t>
  </si>
  <si>
    <t>Short Text</t>
  </si>
  <si>
    <t>Full Text</t>
  </si>
  <si>
    <t>Identity &amp; Core Stats</t>
  </si>
  <si>
    <t>Spell Slots</t>
  </si>
  <si>
    <t>Defense</t>
  </si>
  <si>
    <t>Class</t>
  </si>
  <si>
    <t>Rage</t>
  </si>
  <si>
    <t>Bonus Action</t>
  </si>
  <si>
    <t>Long Rest</t>
  </si>
  <si>
    <t>Known / Prepared Spells</t>
  </si>
  <si>
    <t>Armor</t>
  </si>
  <si>
    <t>Use</t>
  </si>
  <si>
    <t>Enter Rage</t>
  </si>
  <si>
    <t>Enter a rage for 1 minute. Normal rage rules apply.</t>
  </si>
  <si>
    <t>Shield</t>
  </si>
  <si>
    <t>Species</t>
  </si>
  <si>
    <t>Level</t>
  </si>
  <si>
    <t>Background</t>
  </si>
  <si>
    <t>Unarmored Defense</t>
  </si>
  <si>
    <t>Alignment</t>
  </si>
  <si>
    <t>Armor Misc AC</t>
  </si>
  <si>
    <t>Passive</t>
  </si>
  <si>
    <t>Current</t>
  </si>
  <si>
    <t>Max</t>
  </si>
  <si>
    <t>Inspiration</t>
  </si>
  <si>
    <t>Visible</t>
  </si>
  <si>
    <t>Favorite</t>
  </si>
  <si>
    <t>Speed</t>
  </si>
  <si>
    <t>Prepared</t>
  </si>
  <si>
    <t>Spell Name</t>
  </si>
  <si>
    <t>Proficiency Bonus</t>
  </si>
  <si>
    <t>Always</t>
  </si>
  <si>
    <t>Unarmored Base</t>
  </si>
  <si>
    <t>Total Level</t>
  </si>
  <si>
    <t>School</t>
  </si>
  <si>
    <t>AC formula</t>
  </si>
  <si>
    <t>Casting Time</t>
  </si>
  <si>
    <t>While unarmored, your AC equals 10 + your Dexterity modifier + your Constitution modifier. You can use a shield and still gain this benefit.</t>
  </si>
  <si>
    <t>Cast Type</t>
  </si>
  <si>
    <t>DEX Cap Override</t>
  </si>
  <si>
    <t>Attack Mod Source</t>
  </si>
  <si>
    <t>Save DC Source</t>
  </si>
  <si>
    <t>TWF Style?</t>
  </si>
  <si>
    <t>Save Ability</t>
  </si>
  <si>
    <t>Effect Formula</t>
  </si>
  <si>
    <t>Damage Type</t>
  </si>
  <si>
    <t>Concentration</t>
  </si>
  <si>
    <t>Ritual</t>
  </si>
  <si>
    <t>Duration</t>
  </si>
  <si>
    <t>Slot Use</t>
  </si>
  <si>
    <t>Active Effect</t>
  </si>
  <si>
    <t>Scaling Type</t>
  </si>
  <si>
    <t>Scaling Data</t>
  </si>
  <si>
    <t>Derived Roll Bonus</t>
  </si>
  <si>
    <t>Derived Save DC</t>
  </si>
  <si>
    <t>Notes</t>
  </si>
  <si>
    <t>Cantrip</t>
  </si>
  <si>
    <t>Reckless Attack</t>
  </si>
  <si>
    <t>Spellcasting Ability</t>
  </si>
  <si>
    <t>Final AC</t>
  </si>
  <si>
    <t>TRUE</t>
  </si>
  <si>
    <t>Spell Atk Misc</t>
  </si>
  <si>
    <t>Spell DC Misc</t>
  </si>
  <si>
    <t>Initiative Misc</t>
  </si>
  <si>
    <t>HP Current</t>
  </si>
  <si>
    <t>HP Max</t>
  </si>
  <si>
    <t>Temp HP</t>
  </si>
  <si>
    <t>Initiative Total</t>
  </si>
  <si>
    <t>Attack option</t>
  </si>
  <si>
    <t>Advantage on STR melee attacks</t>
  </si>
  <si>
    <t>You can throw aside all concern for defense to attack with fierce desperation. When you make your first attack on your turn, you can decide to attack recklessly. Doing so gives you advantage on STR-based melee weapon attack rolls this turn, but attack rolls against you have advantage until your next turn.</t>
  </si>
  <si>
    <t>Danger Sense</t>
  </si>
  <si>
    <t>Classes</t>
  </si>
  <si>
    <t>Save reminder</t>
  </si>
  <si>
    <t>Advantage on Dex saves vs visible effects</t>
  </si>
  <si>
    <t>You have advantage on Dexterity saving throws against effects you can see, such as traps and spells. You do not gain this benefit if you are blinded, deafened, or incapacitated.</t>
  </si>
  <si>
    <t>Fast Movement</t>
  </si>
  <si>
    <t>Ability Scores</t>
  </si>
  <si>
    <t>+10 spell</t>
  </si>
  <si>
    <t>Slot</t>
  </si>
  <si>
    <t>Not in heavy armor</t>
  </si>
  <si>
    <t>Your speed increases by 10 feet while you aren't wearing heavy armor.</t>
  </si>
  <si>
    <t>Subclass</t>
  </si>
  <si>
    <t>Hit Die</t>
  </si>
  <si>
    <t>Casting Stat</t>
  </si>
  <si>
    <t>Ability</t>
  </si>
  <si>
    <t>Score</t>
  </si>
  <si>
    <t>Mod</t>
  </si>
  <si>
    <t>Dual Wielder?</t>
  </si>
  <si>
    <t>Divine Fury</t>
  </si>
  <si>
    <t>Weapons &amp; Attacks</t>
  </si>
  <si>
    <t>While Raging</t>
  </si>
  <si>
    <t>1d6 + floor(BarbarianLevel/2)</t>
  </si>
  <si>
    <t>Roll Bonus Damage</t>
  </si>
  <si>
    <t>First hit each turn while raging</t>
  </si>
  <si>
    <t>On each of your turns while your Rage is active, the first creature you hit with a weapon or an Unarmed Strike takes extra damage equal to 1d6 plus half your Barbarian level, rounded down. The extra damage is Necrotic or Radiant; you choose the type each time.</t>
  </si>
  <si>
    <t>Custom</t>
  </si>
  <si>
    <t>Lion's Gambit</t>
  </si>
  <si>
    <t>Reaction</t>
  </si>
  <si>
    <t>Short Rest</t>
  </si>
  <si>
    <t>1d20 + WeaponAttack</t>
  </si>
  <si>
    <t>Roll Attack</t>
  </si>
  <si>
    <t>Reaction melee strike</t>
  </si>
  <si>
    <t>After taking damage from a creature within 5 feet, make a melee weapon attack against that creature. On a hit, add bonus damage equal to half your level.</t>
  </si>
  <si>
    <t>Second Wind</t>
  </si>
  <si>
    <t>Equipped</t>
  </si>
  <si>
    <t>STR</t>
  </si>
  <si>
    <t>Hand</t>
  </si>
  <si>
    <t>Base Weapon</t>
  </si>
  <si>
    <t>Display Name</t>
  </si>
  <si>
    <t>Atk Stat</t>
  </si>
  <si>
    <t>1d10 + FighterLevel</t>
  </si>
  <si>
    <t>Dmg Stat</t>
  </si>
  <si>
    <t>Roll Healing</t>
  </si>
  <si>
    <t>Prof</t>
  </si>
  <si>
    <t>Bonus action self-heal</t>
  </si>
  <si>
    <t>Magic</t>
  </si>
  <si>
    <t>You have a limited well of stamina you can draw on to protect yourself from harm. On your turn, you can use a Bonus Action to regain hit points equal to 1d10 + your Fighter level.</t>
  </si>
  <si>
    <t>Atk Misc</t>
  </si>
  <si>
    <t>Dmg Misc</t>
  </si>
  <si>
    <t>Custom Atk</t>
  </si>
  <si>
    <t>Custom Dmg</t>
  </si>
  <si>
    <t>Dmg Override</t>
  </si>
  <si>
    <t>Innate Sorcery</t>
  </si>
  <si>
    <t>Type Override</t>
  </si>
  <si>
    <t>Range Override</t>
  </si>
  <si>
    <t>Final Name</t>
  </si>
  <si>
    <t>Atk Bonus</t>
  </si>
  <si>
    <t>Damage Die</t>
  </si>
  <si>
    <t>Dmg Mod</t>
  </si>
  <si>
    <t>Damage Formula</t>
  </si>
  <si>
    <t>+1 spell DC, adv on Sorcerer spell attacks</t>
  </si>
  <si>
    <t>Range</t>
  </si>
  <si>
    <t>As a Bonus Action, you can unleash your innate magic for 1 minute. During that time, the spell save DC of your Sorcerer spells increases by 1, and you have Advantage on the attack rolls of Sorcerer spells you cast.</t>
  </si>
  <si>
    <t>Offhand Rule Note</t>
  </si>
  <si>
    <t>Base Damage</t>
  </si>
  <si>
    <t>Alt Damage</t>
  </si>
  <si>
    <t>Base Type</t>
  </si>
  <si>
    <t>Base Range</t>
  </si>
  <si>
    <t>Finesse</t>
  </si>
  <si>
    <t>Lucky</t>
  </si>
  <si>
    <t>Light</t>
  </si>
  <si>
    <t>Two-Handed</t>
  </si>
  <si>
    <t>Versatile</t>
  </si>
  <si>
    <t>Thrown</t>
  </si>
  <si>
    <t>Ranged</t>
  </si>
  <si>
    <t>Ammo</t>
  </si>
  <si>
    <t>Reroll 1s on d20 tests</t>
  </si>
  <si>
    <t>When you roll a 1 on the d20 of a d20 Test, you can reroll the die, and you must use the new roll.</t>
  </si>
  <si>
    <t>Loading</t>
  </si>
  <si>
    <t>Reach</t>
  </si>
  <si>
    <t>DEX</t>
  </si>
  <si>
    <t>CON</t>
  </si>
  <si>
    <t>INT</t>
  </si>
  <si>
    <t>WIS</t>
  </si>
  <si>
    <t>CHA</t>
  </si>
  <si>
    <t>Saving Throws</t>
  </si>
  <si>
    <t>Skills</t>
  </si>
  <si>
    <t>Save</t>
  </si>
  <si>
    <t>Stat</t>
  </si>
  <si>
    <t>Misc</t>
  </si>
  <si>
    <t>Total</t>
  </si>
  <si>
    <t>Skill</t>
  </si>
  <si>
    <t>1</t>
  </si>
  <si>
    <t>STR Save</t>
  </si>
  <si>
    <t>Fire Bolt</t>
  </si>
  <si>
    <t>Acrobatics</t>
  </si>
  <si>
    <t>DEX Save</t>
  </si>
  <si>
    <t>Animal Handling</t>
  </si>
  <si>
    <t>CON Save</t>
  </si>
  <si>
    <t>Arcana</t>
  </si>
  <si>
    <t>INT Save</t>
  </si>
  <si>
    <t>Athletics</t>
  </si>
  <si>
    <t>WIS Save</t>
  </si>
  <si>
    <t>Deception</t>
  </si>
  <si>
    <t>2</t>
  </si>
  <si>
    <t>CHA Save</t>
  </si>
  <si>
    <t>FALSE</t>
  </si>
  <si>
    <t>Fireball</t>
  </si>
  <si>
    <t>History</t>
  </si>
  <si>
    <t>Insight</t>
  </si>
  <si>
    <t>Intimidation</t>
  </si>
  <si>
    <t>Passives</t>
  </si>
  <si>
    <t>Spell Summary</t>
  </si>
  <si>
    <t>Investigation</t>
  </si>
  <si>
    <t>Field</t>
  </si>
  <si>
    <t>Value</t>
  </si>
  <si>
    <t>Medicine</t>
  </si>
  <si>
    <t>Passive Perception</t>
  </si>
  <si>
    <t>Spellcasting Mod</t>
  </si>
  <si>
    <t>Nature</t>
  </si>
  <si>
    <t>Passive Insight</t>
  </si>
  <si>
    <t>Spell Attack</t>
  </si>
  <si>
    <t>Perception</t>
  </si>
  <si>
    <t>3</t>
  </si>
  <si>
    <t>Bless</t>
  </si>
  <si>
    <t>Passive Investigation</t>
  </si>
  <si>
    <t>Spell Save DC</t>
  </si>
  <si>
    <t>Performance</t>
  </si>
  <si>
    <t>Persuasion</t>
  </si>
  <si>
    <t>Religion</t>
  </si>
  <si>
    <t>Sleight of Hand</t>
  </si>
  <si>
    <t>Stealth</t>
  </si>
  <si>
    <t>Survival</t>
  </si>
  <si>
    <t>4</t>
  </si>
  <si>
    <t>5</t>
  </si>
  <si>
    <t>Reference Data</t>
  </si>
  <si>
    <t>Proficiency Map</t>
  </si>
  <si>
    <t>Backgrounds</t>
  </si>
  <si>
    <t>6</t>
  </si>
  <si>
    <t>Shields</t>
  </si>
  <si>
    <t>Weapons</t>
  </si>
  <si>
    <t>Label</t>
  </si>
  <si>
    <t>Multiplier</t>
  </si>
  <si>
    <t>Size</t>
  </si>
  <si>
    <t>Base AC</t>
  </si>
  <si>
    <t>Dex Cap</t>
  </si>
  <si>
    <t>Min STR</t>
  </si>
  <si>
    <t>Stealth Disadv</t>
  </si>
  <si>
    <t>Type</t>
  </si>
  <si>
    <t>AC Bonus</t>
  </si>
  <si>
    <t>Weapon</t>
  </si>
  <si>
    <t>Category</t>
  </si>
  <si>
    <t>Damage</t>
  </si>
  <si>
    <t>None</t>
  </si>
  <si>
    <t>Barbarian</t>
  </si>
  <si>
    <t>d12</t>
  </si>
  <si>
    <t>Human</t>
  </si>
  <si>
    <t>Medium</t>
  </si>
  <si>
    <t>Acolyte</t>
  </si>
  <si>
    <t>Unarmored</t>
  </si>
  <si>
    <t>Club</t>
  </si>
  <si>
    <t>Melee</t>
  </si>
  <si>
    <t>1d4</t>
  </si>
  <si>
    <t>Bludgeoning</t>
  </si>
  <si>
    <t>Half</t>
  </si>
  <si>
    <t>Bard</t>
  </si>
  <si>
    <t>d8</t>
  </si>
  <si>
    <t>Elf</t>
  </si>
  <si>
    <t>Criminal</t>
  </si>
  <si>
    <t>Leather</t>
  </si>
  <si>
    <t>Dagger</t>
  </si>
  <si>
    <t>Piercing</t>
  </si>
  <si>
    <t>20/60</t>
  </si>
  <si>
    <t>Proficient</t>
  </si>
  <si>
    <t>Cleric</t>
  </si>
  <si>
    <t>Dwarf</t>
  </si>
  <si>
    <t>Sage</t>
  </si>
  <si>
    <t>Studded Leather</t>
  </si>
  <si>
    <t>Greatsword</t>
  </si>
  <si>
    <t>2d6</t>
  </si>
  <si>
    <t>Slashing</t>
  </si>
  <si>
    <t>Expert</t>
  </si>
  <si>
    <t>Druid</t>
  </si>
  <si>
    <t>Halfling</t>
  </si>
  <si>
    <t>Small</t>
  </si>
  <si>
    <t>Soldier</t>
  </si>
  <si>
    <t>Hide</t>
  </si>
  <si>
    <t>Handaxe</t>
  </si>
  <si>
    <t>1d6</t>
  </si>
  <si>
    <t>Fighter</t>
  </si>
  <si>
    <t>d10</t>
  </si>
  <si>
    <t>Dragonborn</t>
  </si>
  <si>
    <t>Entertainer</t>
  </si>
  <si>
    <t>Chain Shirt</t>
  </si>
  <si>
    <t>Longsword</t>
  </si>
  <si>
    <t>1d8</t>
  </si>
  <si>
    <t>1d10</t>
  </si>
  <si>
    <t>Monk</t>
  </si>
  <si>
    <t>Tiefling</t>
  </si>
  <si>
    <t>Custom Background 1</t>
  </si>
  <si>
    <t>Scale Mail</t>
  </si>
  <si>
    <t>Mace</t>
  </si>
  <si>
    <t>Paladin</t>
  </si>
  <si>
    <t>Custom Species 1</t>
  </si>
  <si>
    <t>Custom Background 2</t>
  </si>
  <si>
    <t>Breastplate</t>
  </si>
  <si>
    <t>Quarterstaff</t>
  </si>
  <si>
    <t>Ranger</t>
  </si>
  <si>
    <t>Custom Species 2</t>
  </si>
  <si>
    <t>Half Plate</t>
  </si>
  <si>
    <t>Rapier</t>
  </si>
  <si>
    <t>Rogue</t>
  </si>
  <si>
    <t>Ring Mail</t>
  </si>
  <si>
    <t>Heavy</t>
  </si>
  <si>
    <t>Scimitar</t>
  </si>
  <si>
    <t>Sorcerer</t>
  </si>
  <si>
    <t>d6</t>
  </si>
  <si>
    <t>Chain Mail</t>
  </si>
  <si>
    <t>7</t>
  </si>
  <si>
    <t>Shortsword</t>
  </si>
  <si>
    <t>Warlock</t>
  </si>
  <si>
    <t>Splint</t>
  </si>
  <si>
    <t>Spear</t>
  </si>
  <si>
    <t>Wizard</t>
  </si>
  <si>
    <t>Plate</t>
  </si>
  <si>
    <t>Shortbow</t>
  </si>
  <si>
    <t>80/320</t>
  </si>
  <si>
    <t>Custom Class 1</t>
  </si>
  <si>
    <t>Longbow</t>
  </si>
  <si>
    <t>150/600</t>
  </si>
  <si>
    <t>Custom Class 2</t>
  </si>
  <si>
    <t>Light Crossbow</t>
  </si>
  <si>
    <t>Unarmed Strike</t>
  </si>
  <si>
    <t>Custom Weapon 1</t>
  </si>
  <si>
    <t>Custom Weapon 2</t>
  </si>
  <si>
    <t>Custom Weapon 3</t>
  </si>
  <si>
    <t>Custom Weapon 4</t>
  </si>
  <si>
    <t>Custom Weapon 5</t>
  </si>
  <si>
    <t>8</t>
  </si>
  <si>
    <t>Spell Reference</t>
  </si>
  <si>
    <t>Acid Splash</t>
  </si>
  <si>
    <t>Conjuration</t>
  </si>
  <si>
    <t>Spell DC</t>
  </si>
  <si>
    <t>Acid</t>
  </si>
  <si>
    <t>Instant</t>
  </si>
  <si>
    <t>CantripDice</t>
  </si>
  <si>
    <t>5:2d6;11:3d6;17:4d6</t>
  </si>
  <si>
    <t>Enchantment</t>
  </si>
  <si>
    <t>Buff</t>
  </si>
  <si>
    <t>1 minute</t>
  </si>
  <si>
    <t>Auto</t>
  </si>
  <si>
    <t>Add 1d4 to attacks and saves</t>
  </si>
  <si>
    <t>Counterspell</t>
  </si>
  <si>
    <t>Abjuration</t>
  </si>
  <si>
    <t>Interrupt a spell</t>
  </si>
  <si>
    <t>Cure Wounds</t>
  </si>
  <si>
    <t>Evocation</t>
  </si>
  <si>
    <t>Heal</t>
  </si>
  <si>
    <t>1d8+mod</t>
  </si>
  <si>
    <t>Healing</t>
  </si>
  <si>
    <t>SlotDice</t>
  </si>
  <si>
    <t>+1d8/slot</t>
  </si>
  <si>
    <t>Eldritch Blast</t>
  </si>
  <si>
    <t>Attack</t>
  </si>
  <si>
    <t>9</t>
  </si>
  <si>
    <t>Force</t>
  </si>
  <si>
    <t>5:2 beams;11:3 beams;17:4 beams</t>
  </si>
  <si>
    <t>Fire</t>
  </si>
  <si>
    <t>5:2d10;11:3d10;17:4d10</t>
  </si>
  <si>
    <t>8d6</t>
  </si>
  <si>
    <t>+1d6/slot</t>
  </si>
  <si>
    <t>Guiding Bolt</t>
  </si>
  <si>
    <t>4d6</t>
  </si>
  <si>
    <t>Radiant</t>
  </si>
  <si>
    <t>1 round</t>
  </si>
  <si>
    <t>Next attack has advantage</t>
  </si>
  <si>
    <t>Healing Word</t>
  </si>
  <si>
    <t>1d4+mod</t>
  </si>
  <si>
    <t>+1d4/slot</t>
  </si>
  <si>
    <t>Magic Missile</t>
  </si>
  <si>
    <t>3 missiles (1d4+1 each)</t>
  </si>
  <si>
    <t>SlotMissiles</t>
  </si>
  <si>
    <t>+1 missile/slot</t>
  </si>
  <si>
    <t>Misty Step</t>
  </si>
  <si>
    <t>Utility</t>
  </si>
  <si>
    <t>Teleport 30 ft</t>
  </si>
  <si>
    <t>Sacred Flame</t>
  </si>
  <si>
    <t>5:2d8;11:3d8;17:4d8</t>
  </si>
  <si>
    <t>+5 AC</t>
  </si>
  <si>
    <t>Until start of your next turn</t>
  </si>
  <si>
    <t>Cast when hit or targeted by Magic Missile</t>
  </si>
  <si>
    <t>Silvery Barbs</t>
  </si>
  <si>
    <t>Reroll a successful d20 and grant advantage</t>
  </si>
  <si>
    <t>Custom Spell 1</t>
  </si>
  <si>
    <t>Custom Spell 2</t>
  </si>
  <si>
    <t>Custom Spell 3</t>
  </si>
  <si>
    <t>Config</t>
  </si>
  <si>
    <t>Key</t>
  </si>
  <si>
    <t>character_id</t>
  </si>
  <si>
    <t>dev-sheet-001</t>
  </si>
  <si>
    <t>Change if you want a unique sheet id</t>
  </si>
  <si>
    <t>character_name</t>
  </si>
  <si>
    <t>Optional override for exporter</t>
  </si>
  <si>
    <t>system</t>
  </si>
  <si>
    <t>5e</t>
  </si>
  <si>
    <t>Used by the extension/exporter</t>
  </si>
  <si>
    <t>sheet_version</t>
  </si>
  <si>
    <t>v1-dev</t>
  </si>
  <si>
    <t>First real dev sheet</t>
  </si>
  <si>
    <t>log_size</t>
  </si>
  <si>
    <t>Recent roll log size target</t>
  </si>
  <si>
    <t>show_damage_rolls</t>
  </si>
  <si>
    <t>UI preference for later</t>
  </si>
  <si>
    <t>Use this tab for freeform notes.
Suggested uses:
- inventory
- feature text that is too long for the Abilities tab
- campaign reminders
- GM notes you want on the sheet
The extension can safely ignore this tab.</t>
  </si>
  <si>
    <t>Resources</t>
  </si>
  <si>
    <t>Conditions / Combat Notes</t>
  </si>
  <si>
    <t>Resource</t>
  </si>
  <si>
    <t>Examples:
- Concentrating on Bless
- Rage active
- Invisible until end of turn
- Divine Fury: first hit each turn while raging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</si>
</sst>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10">
    <font>
      <sz val="11.0"/>
      <color theme="1"/>
      <name val="Calibri"/>
      <scheme val="minor"/>
    </font>
    <font>
      <b/>
      <sz val="16.0"/>
      <color rgb="FFFFFFFF"/>
      <name val="Calibri"/>
    </font>
    <font/>
    <font>
      <b/>
      <sz val="11.0"/>
      <color rgb="FFFFFFFF"/>
      <name val="Calibri"/>
    </font>
    <font>
      <color theme="1"/>
      <name val="Calibri"/>
      <scheme val="minor"/>
    </font>
    <font>
      <b/>
      <sz val="10.0"/>
      <color rgb="FF374151"/>
      <name val="Calibri"/>
    </font>
    <font>
      <sz val="11.0"/>
      <color theme="1"/>
      <name val="Calibri"/>
    </font>
    <font>
      <sz val="11.0"/>
      <color rgb="FF1D4ED8"/>
      <name val="Calibri"/>
    </font>
    <font>
      <b/>
      <sz val="10.0"/>
      <color rgb="FFFFFFFF"/>
      <name val="Calibri"/>
    </font>
    <font>
      <i/>
      <sz val="9.0"/>
      <color rgb="FF6B7280"/>
      <name val="Calibri"/>
    </font>
  </fonts>
  <fills count="6">
    <fill>
      <patternFill patternType="none"/>
    </fill>
    <fill>
      <patternFill patternType="lightGray"/>
    </fill>
    <fill>
      <patternFill patternType="solid">
        <fgColor rgb="FF1F2937"/>
        <bgColor rgb="FF1F2937"/>
      </patternFill>
    </fill>
    <fill>
      <patternFill patternType="solid">
        <fgColor rgb="FFF9FAFB"/>
        <bgColor rgb="FFF9FAFB"/>
      </patternFill>
    </fill>
    <fill>
      <patternFill patternType="solid">
        <fgColor rgb="FF374151"/>
        <bgColor rgb="FF374151"/>
      </patternFill>
    </fill>
    <fill>
      <patternFill patternType="solid">
        <fgColor rgb="FFE5E7EB"/>
        <bgColor rgb="FFE5E7EB"/>
      </patternFill>
    </fill>
  </fills>
  <borders count="16">
    <border/>
    <border>
      <left/>
      <top/>
      <bottom/>
    </border>
    <border>
      <top/>
      <bottom/>
    </border>
    <border>
      <right/>
      <top/>
      <bottom/>
    </border>
    <border>
      <left style="thin">
        <color rgb="FFD1D5DB"/>
      </lef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left style="thin">
        <color rgb="FFD1D5DB"/>
      </left>
      <right style="thin">
        <color rgb="FFD1D5DB"/>
      </right>
      <top style="thin">
        <color rgb="FFD1D5DB"/>
      </top>
      <bottom style="thin">
        <color rgb="FFD1D5DB"/>
      </bottom>
    </border>
    <border>
      <left style="thin">
        <color rgb="FFD1D5DB"/>
      </left>
      <top style="thin">
        <color rgb="FFD1D5DB"/>
      </top>
    </border>
    <border>
      <top style="thin">
        <color rgb="FFD1D5DB"/>
      </top>
    </border>
    <border>
      <right style="thin">
        <color rgb="FFD1D5DB"/>
      </right>
      <top style="thin">
        <color rgb="FFD1D5DB"/>
      </top>
    </border>
    <border>
      <left style="thin">
        <color rgb="FFD1D5DB"/>
      </left>
    </border>
    <border>
      <right style="thin">
        <color rgb="FFD1D5DB"/>
      </right>
    </border>
    <border>
      <left style="thin">
        <color rgb="FFD1D5DB"/>
      </left>
      <bottom style="thin">
        <color rgb="FFD1D5DB"/>
      </bottom>
    </border>
    <border>
      <bottom style="thin">
        <color rgb="FFD1D5DB"/>
      </bottom>
    </border>
    <border>
      <right style="thin">
        <color rgb="FFD1D5DB"/>
      </right>
      <bottom style="thin">
        <color rgb="FFD1D5DB"/>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2" fillId="0" fontId="2" numFmtId="0" xfId="0" applyBorder="1" applyFont="1"/>
    <xf borderId="2" fillId="2" fontId="1" numFmtId="0" xfId="0" applyAlignment="1" applyBorder="1" applyFont="1">
      <alignment horizontal="center" readingOrder="0" vertical="center"/>
    </xf>
    <xf borderId="3" fillId="0" fontId="2" numFmtId="0" xfId="0" applyBorder="1" applyFont="1"/>
    <xf borderId="2" fillId="2" fontId="1" numFmtId="0" xfId="0" applyAlignment="1" applyBorder="1" applyFont="1">
      <alignment horizontal="center" vertical="center"/>
    </xf>
    <xf borderId="4" fillId="2" fontId="3" numFmtId="0" xfId="0" applyAlignment="1" applyBorder="1" applyFont="1">
      <alignment horizontal="left" vertical="center"/>
    </xf>
    <xf borderId="0" fillId="0" fontId="4" numFmtId="0" xfId="0" applyAlignment="1" applyFont="1">
      <alignment readingOrder="0"/>
    </xf>
    <xf borderId="5" fillId="0" fontId="2" numFmtId="0" xfId="0" applyBorder="1" applyFont="1"/>
    <xf borderId="6" fillId="0" fontId="2" numFmtId="0" xfId="0" applyBorder="1" applyFont="1"/>
    <xf borderId="0" fillId="0" fontId="5" numFmtId="0" xfId="0" applyFont="1"/>
    <xf borderId="7" fillId="3" fontId="6" numFmtId="0" xfId="0" applyAlignment="1" applyBorder="1" applyFill="1" applyFont="1">
      <alignment horizontal="center" vertical="center"/>
    </xf>
    <xf borderId="7" fillId="3" fontId="7" numFmtId="0" xfId="0" applyAlignment="1" applyBorder="1" applyFont="1">
      <alignment horizontal="center" vertical="center"/>
    </xf>
    <xf borderId="7" fillId="4" fontId="8" numFmtId="0" xfId="0" applyAlignment="1" applyBorder="1" applyFill="1" applyFont="1">
      <alignment horizontal="center" readingOrder="0" vertical="center"/>
    </xf>
    <xf borderId="7" fillId="4" fontId="8" numFmtId="0" xfId="0" applyAlignment="1" applyBorder="1" applyFont="1">
      <alignment horizontal="center" vertical="center"/>
    </xf>
    <xf borderId="7" fillId="3" fontId="6" numFmtId="0" xfId="0" applyAlignment="1" applyBorder="1" applyFont="1">
      <alignment horizontal="center" readingOrder="0" vertical="center"/>
    </xf>
    <xf borderId="7" fillId="3" fontId="7" numFmtId="164" xfId="0" applyAlignment="1" applyBorder="1" applyFont="1" applyNumberFormat="1">
      <alignment horizontal="center" vertical="center"/>
    </xf>
    <xf quotePrefix="1" borderId="7" fillId="3" fontId="6" numFmtId="0" xfId="0" applyAlignment="1" applyBorder="1" applyFont="1">
      <alignment horizontal="center" readingOrder="0" vertical="center"/>
    </xf>
    <xf borderId="7" fillId="3" fontId="6" numFmtId="164" xfId="0" applyAlignment="1" applyBorder="1" applyFont="1" applyNumberFormat="1">
      <alignment horizontal="center" vertical="center"/>
    </xf>
    <xf borderId="7" fillId="5" fontId="6" numFmtId="0" xfId="0" applyAlignment="1" applyBorder="1" applyFill="1" applyFont="1">
      <alignment horizontal="center" vertical="center"/>
    </xf>
    <xf borderId="0" fillId="0" fontId="4" numFmtId="0" xfId="0" applyFont="1"/>
    <xf borderId="7" fillId="5" fontId="6" numFmtId="164" xfId="0" applyAlignment="1" applyBorder="1" applyFont="1" applyNumberFormat="1">
      <alignment horizontal="center" vertical="center"/>
    </xf>
    <xf borderId="7" fillId="3" fontId="5" numFmtId="0" xfId="0" applyAlignment="1" applyBorder="1" applyFont="1">
      <alignment horizontal="center" vertical="center"/>
    </xf>
    <xf borderId="8" fillId="3" fontId="9" numFmtId="0" xfId="0" applyAlignment="1" applyBorder="1" applyFont="1">
      <alignment horizontal="left" shrinkToFit="0" vertical="top"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10.0"/>
    <col customWidth="1" min="4" max="4" width="16.0"/>
    <col customWidth="1" min="5" max="5" width="18.0"/>
    <col customWidth="1" min="6" max="6" width="10.0"/>
    <col customWidth="1" min="7" max="8" width="18.0"/>
    <col customWidth="1" min="9" max="9" width="10.0"/>
    <col customWidth="1" min="10" max="10" width="16.0"/>
    <col customWidth="1" min="11" max="11" width="14.0"/>
    <col customWidth="1" min="12" max="26" width="8.71"/>
  </cols>
  <sheetData>
    <row r="1" ht="21.75" customHeight="1">
      <c r="A1" s="1" t="s">
        <v>0</v>
      </c>
      <c r="B1" s="3"/>
      <c r="C1" s="3"/>
      <c r="D1" s="3"/>
      <c r="E1" s="3"/>
      <c r="F1" s="3"/>
      <c r="G1" s="3"/>
      <c r="H1" s="3"/>
      <c r="I1" s="3"/>
      <c r="J1" s="3"/>
      <c r="K1" s="5"/>
    </row>
    <row r="2" ht="21.75" customHeight="1"/>
    <row r="3" ht="21.75" customHeight="1">
      <c r="A3" s="7" t="s">
        <v>15</v>
      </c>
      <c r="B3" s="9"/>
      <c r="C3" s="9"/>
      <c r="D3" s="9"/>
      <c r="E3" s="9"/>
      <c r="F3" s="9"/>
      <c r="G3" s="9"/>
      <c r="H3" s="9"/>
      <c r="I3" s="9"/>
      <c r="J3" s="9"/>
      <c r="K3" s="10"/>
    </row>
    <row r="4" ht="21.75" customHeight="1">
      <c r="A4" s="11" t="s">
        <v>6</v>
      </c>
      <c r="B4" s="13"/>
      <c r="D4" s="11" t="s">
        <v>28</v>
      </c>
      <c r="E4" s="13"/>
      <c r="G4" s="11" t="s">
        <v>30</v>
      </c>
      <c r="H4" s="13"/>
      <c r="J4" s="11" t="s">
        <v>32</v>
      </c>
      <c r="K4" s="13"/>
    </row>
    <row r="5" ht="21.75" customHeight="1">
      <c r="A5" s="11" t="s">
        <v>37</v>
      </c>
      <c r="B5" s="13"/>
      <c r="D5" s="11" t="s">
        <v>40</v>
      </c>
      <c r="E5" s="13"/>
      <c r="G5" s="11" t="s">
        <v>43</v>
      </c>
      <c r="H5" s="13"/>
      <c r="J5" s="11" t="s">
        <v>46</v>
      </c>
      <c r="K5" s="13">
        <f>SUM(C11:C14)</f>
        <v>0</v>
      </c>
    </row>
    <row r="6" ht="21.75" customHeight="1">
      <c r="A6" s="11" t="s">
        <v>71</v>
      </c>
      <c r="B6" s="13"/>
      <c r="D6" s="11" t="s">
        <v>74</v>
      </c>
      <c r="E6" s="13"/>
      <c r="G6" s="11" t="s">
        <v>75</v>
      </c>
      <c r="H6" s="13"/>
      <c r="J6" s="11" t="s">
        <v>76</v>
      </c>
      <c r="K6" s="13"/>
    </row>
    <row r="7" ht="21.75" customHeight="1">
      <c r="A7" s="11" t="s">
        <v>77</v>
      </c>
      <c r="B7" s="13"/>
      <c r="D7" s="11" t="s">
        <v>78</v>
      </c>
      <c r="E7" s="13"/>
      <c r="G7" s="11" t="s">
        <v>79</v>
      </c>
      <c r="H7" s="13"/>
      <c r="J7" s="11" t="s">
        <v>80</v>
      </c>
      <c r="K7" s="17">
        <f>J12+K6</f>
        <v>0</v>
      </c>
    </row>
    <row r="8" ht="21.75" customHeight="1"/>
    <row r="9" ht="21.75" customHeight="1">
      <c r="A9" s="7" t="s">
        <v>85</v>
      </c>
      <c r="B9" s="9"/>
      <c r="C9" s="9"/>
      <c r="D9" s="9"/>
      <c r="E9" s="9"/>
      <c r="F9" s="10"/>
      <c r="H9" s="7" t="s">
        <v>90</v>
      </c>
      <c r="I9" s="9"/>
      <c r="J9" s="10"/>
    </row>
    <row r="10" ht="21.75" customHeight="1">
      <c r="A10" s="15" t="s">
        <v>92</v>
      </c>
      <c r="B10" s="15" t="s">
        <v>18</v>
      </c>
      <c r="C10" s="15" t="s">
        <v>29</v>
      </c>
      <c r="D10" s="15" t="s">
        <v>95</v>
      </c>
      <c r="E10" s="15" t="s">
        <v>96</v>
      </c>
      <c r="F10" s="15" t="s">
        <v>97</v>
      </c>
      <c r="H10" s="15" t="s">
        <v>98</v>
      </c>
      <c r="I10" s="15" t="s">
        <v>99</v>
      </c>
      <c r="J10" s="15" t="s">
        <v>100</v>
      </c>
    </row>
    <row r="11" ht="21.75" customHeight="1">
      <c r="A11" s="12">
        <v>1.0</v>
      </c>
      <c r="B11" s="12"/>
      <c r="C11" s="12"/>
      <c r="D11" s="12"/>
      <c r="E11" s="12" t="str">
        <f t="array" ref="E11">IFERROR(INDEX(Data!$E$5:$E$18,MATCH(B11,Data!$D$5:$D$18,0)),"")</f>
        <v/>
      </c>
      <c r="F11" s="12" t="str">
        <f t="array" ref="F11">IFERROR(INDEX(Data!$F$5:$F$18,MATCH(B11,Data!$D$5:$D$18,0)),"")</f>
        <v/>
      </c>
      <c r="H11" s="11" t="s">
        <v>119</v>
      </c>
      <c r="I11" s="12"/>
      <c r="J11" s="19" t="str">
        <f t="shared" ref="J11:J16" si="1">IF(I11="","",INT((I11-10)/2))</f>
        <v/>
      </c>
    </row>
    <row r="12" ht="21.75" customHeight="1">
      <c r="A12" s="12">
        <v>2.0</v>
      </c>
      <c r="B12" s="12"/>
      <c r="C12" s="12"/>
      <c r="D12" s="12"/>
      <c r="E12" s="12" t="str">
        <f t="array" ref="E12">IFERROR(INDEX(Data!$E$5:$E$18,MATCH(B12,Data!$D$5:$D$18,0)),"")</f>
        <v/>
      </c>
      <c r="F12" s="12" t="str">
        <f t="array" ref="F12">IFERROR(INDEX(Data!$F$5:$F$18,MATCH(B12,Data!$D$5:$D$18,0)),"")</f>
        <v/>
      </c>
      <c r="H12" s="11" t="s">
        <v>164</v>
      </c>
      <c r="I12" s="12"/>
      <c r="J12" s="19" t="str">
        <f t="shared" si="1"/>
        <v/>
      </c>
    </row>
    <row r="13" ht="21.75" customHeight="1">
      <c r="A13" s="12">
        <v>3.0</v>
      </c>
      <c r="B13" s="12"/>
      <c r="C13" s="12"/>
      <c r="D13" s="12"/>
      <c r="E13" s="12" t="str">
        <f t="array" ref="E13">IFERROR(INDEX(Data!$E$5:$E$18,MATCH(B13,Data!$D$5:$D$18,0)),"")</f>
        <v/>
      </c>
      <c r="F13" s="12" t="str">
        <f t="array" ref="F13">IFERROR(INDEX(Data!$F$5:$F$18,MATCH(B13,Data!$D$5:$D$18,0)),"")</f>
        <v/>
      </c>
      <c r="H13" s="11" t="s">
        <v>165</v>
      </c>
      <c r="I13" s="12"/>
      <c r="J13" s="19" t="str">
        <f t="shared" si="1"/>
        <v/>
      </c>
    </row>
    <row r="14" ht="21.75" customHeight="1">
      <c r="A14" s="12">
        <v>4.0</v>
      </c>
      <c r="B14" s="12"/>
      <c r="C14" s="12"/>
      <c r="D14" s="12"/>
      <c r="E14" s="12" t="str">
        <f t="array" ref="E14">IFERROR(INDEX(Data!$E$5:$E$18,MATCH(B14,Data!$D$5:$D$18,0)),"")</f>
        <v/>
      </c>
      <c r="F14" s="12" t="str">
        <f t="array" ref="F14">IFERROR(INDEX(Data!$F$5:$F$18,MATCH(B14,Data!$D$5:$D$18,0)),"")</f>
        <v/>
      </c>
      <c r="H14" s="11" t="s">
        <v>166</v>
      </c>
      <c r="I14" s="12"/>
      <c r="J14" s="19" t="str">
        <f t="shared" si="1"/>
        <v/>
      </c>
    </row>
    <row r="15" ht="21.75" customHeight="1">
      <c r="H15" s="11" t="s">
        <v>167</v>
      </c>
      <c r="I15" s="12"/>
      <c r="J15" s="19" t="str">
        <f t="shared" si="1"/>
        <v/>
      </c>
    </row>
    <row r="16" ht="21.75" customHeight="1">
      <c r="H16" s="11" t="s">
        <v>168</v>
      </c>
      <c r="I16" s="12"/>
      <c r="J16" s="19" t="str">
        <f t="shared" si="1"/>
        <v/>
      </c>
    </row>
    <row r="17" ht="21.75" customHeight="1">
      <c r="A17" s="7" t="s">
        <v>169</v>
      </c>
      <c r="B17" s="9"/>
      <c r="C17" s="9"/>
      <c r="D17" s="9"/>
      <c r="E17" s="10"/>
      <c r="G17" s="7" t="s">
        <v>170</v>
      </c>
      <c r="H17" s="9"/>
      <c r="I17" s="9"/>
      <c r="J17" s="9"/>
      <c r="K17" s="10"/>
    </row>
    <row r="18" ht="21.75" customHeight="1">
      <c r="A18" s="15" t="s">
        <v>171</v>
      </c>
      <c r="B18" s="15" t="s">
        <v>172</v>
      </c>
      <c r="C18" s="15" t="s">
        <v>127</v>
      </c>
      <c r="D18" s="15" t="s">
        <v>173</v>
      </c>
      <c r="E18" s="15" t="s">
        <v>174</v>
      </c>
      <c r="G18" s="15" t="s">
        <v>175</v>
      </c>
      <c r="H18" s="15" t="s">
        <v>172</v>
      </c>
      <c r="I18" s="15" t="s">
        <v>127</v>
      </c>
      <c r="J18" s="15" t="s">
        <v>173</v>
      </c>
      <c r="K18" s="15" t="s">
        <v>174</v>
      </c>
    </row>
    <row r="19" ht="21.75" customHeight="1">
      <c r="A19" s="23" t="s">
        <v>177</v>
      </c>
      <c r="B19" s="12" t="s">
        <v>119</v>
      </c>
      <c r="C19" s="12"/>
      <c r="D19" s="12"/>
      <c r="E19" s="19">
        <f t="array" ref="E19">IF(B19="","",$J$11+INT($H$5*IFERROR(INDEX(Data!$B$5:$B$8,MATCH(C19,Data!$A$5:$A$8,0)),0))+D19)</f>
        <v>0</v>
      </c>
      <c r="G19" s="23" t="s">
        <v>179</v>
      </c>
      <c r="H19" s="12" t="s">
        <v>164</v>
      </c>
      <c r="I19" s="12"/>
      <c r="J19" s="12"/>
      <c r="K19" s="19">
        <f t="array" ref="K19">IF(H19="","",$J$12+INT($H$5*IFERROR(INDEX(Data!$B$5:$B$8,MATCH(I19,Data!$A$5:$A$8,0)),0))+J19)</f>
        <v>0</v>
      </c>
    </row>
    <row r="20" ht="21.75" customHeight="1">
      <c r="A20" s="23" t="s">
        <v>180</v>
      </c>
      <c r="B20" s="12" t="s">
        <v>164</v>
      </c>
      <c r="C20" s="12"/>
      <c r="D20" s="12"/>
      <c r="E20" s="19">
        <f t="array" ref="E20">IF(B20="","",$J$12+INT($H$5*IFERROR(INDEX(Data!$B$5:$B$8,MATCH(C20,Data!$A$5:$A$8,0)),0))+D20)</f>
        <v>0</v>
      </c>
      <c r="G20" s="23" t="s">
        <v>181</v>
      </c>
      <c r="H20" s="12" t="s">
        <v>167</v>
      </c>
      <c r="I20" s="12"/>
      <c r="J20" s="12"/>
      <c r="K20" s="19">
        <f t="array" ref="K20">IF(H20="","",$J$15+INT($H$5*IFERROR(INDEX(Data!$B$5:$B$8,MATCH(I20,Data!$A$5:$A$8,0)),0))+J20)</f>
        <v>0</v>
      </c>
    </row>
    <row r="21" ht="21.75" customHeight="1">
      <c r="A21" s="23" t="s">
        <v>182</v>
      </c>
      <c r="B21" s="12" t="s">
        <v>165</v>
      </c>
      <c r="C21" s="12"/>
      <c r="D21" s="12"/>
      <c r="E21" s="19">
        <f t="array" ref="E21">IF(B21="","",$J$13+INT($H$5*IFERROR(INDEX(Data!$B$5:$B$8,MATCH(C21,Data!$A$5:$A$8,0)),0))+D21)</f>
        <v>0</v>
      </c>
      <c r="G21" s="23" t="s">
        <v>183</v>
      </c>
      <c r="H21" s="12" t="s">
        <v>166</v>
      </c>
      <c r="I21" s="12"/>
      <c r="J21" s="12"/>
      <c r="K21" s="19">
        <f t="array" ref="K21">IF(H21="","",$J$14+INT($H$5*IFERROR(INDEX(Data!$B$5:$B$8,MATCH(I21,Data!$A$5:$A$8,0)),0))+J21)</f>
        <v>0</v>
      </c>
    </row>
    <row r="22" ht="21.75" customHeight="1">
      <c r="A22" s="23" t="s">
        <v>184</v>
      </c>
      <c r="B22" s="12" t="s">
        <v>166</v>
      </c>
      <c r="C22" s="12"/>
      <c r="D22" s="12"/>
      <c r="E22" s="19">
        <f t="array" ref="E22">IF(B22="","",$J$14+INT($H$5*IFERROR(INDEX(Data!$B$5:$B$8,MATCH(C22,Data!$A$5:$A$8,0)),0))+D22)</f>
        <v>0</v>
      </c>
      <c r="G22" s="23" t="s">
        <v>185</v>
      </c>
      <c r="H22" s="12" t="s">
        <v>119</v>
      </c>
      <c r="I22" s="12"/>
      <c r="J22" s="12"/>
      <c r="K22" s="19">
        <f t="array" ref="K22">IF(H22="","",$J$11+INT($H$5*IFERROR(INDEX(Data!$B$5:$B$8,MATCH(I22,Data!$A$5:$A$8,0)),0))+J22)</f>
        <v>0</v>
      </c>
    </row>
    <row r="23" ht="21.75" customHeight="1">
      <c r="A23" s="23" t="s">
        <v>186</v>
      </c>
      <c r="B23" s="12" t="s">
        <v>167</v>
      </c>
      <c r="C23" s="12"/>
      <c r="D23" s="12"/>
      <c r="E23" s="19">
        <f t="array" ref="E23">IF(B23="","",$J$15+INT($H$5*IFERROR(INDEX(Data!$B$5:$B$8,MATCH(C23,Data!$A$5:$A$8,0)),0))+D23)</f>
        <v>0</v>
      </c>
      <c r="G23" s="23" t="s">
        <v>187</v>
      </c>
      <c r="H23" s="12" t="s">
        <v>168</v>
      </c>
      <c r="I23" s="12"/>
      <c r="J23" s="12"/>
      <c r="K23" s="19">
        <f t="array" ref="K23">IF(H23="","",$J$16+INT($H$5*IFERROR(INDEX(Data!$B$5:$B$8,MATCH(I23,Data!$A$5:$A$8,0)),0))+J23)</f>
        <v>0</v>
      </c>
    </row>
    <row r="24" ht="21.75" customHeight="1">
      <c r="A24" s="23" t="s">
        <v>189</v>
      </c>
      <c r="B24" s="12" t="s">
        <v>168</v>
      </c>
      <c r="C24" s="12"/>
      <c r="D24" s="12"/>
      <c r="E24" s="19">
        <f t="array" ref="E24">IF(B24="","",$J$16+INT($H$5*IFERROR(INDEX(Data!$B$5:$B$8,MATCH(C24,Data!$A$5:$A$8,0)),0))+D24)</f>
        <v>0</v>
      </c>
      <c r="G24" s="23" t="s">
        <v>192</v>
      </c>
      <c r="H24" s="12" t="s">
        <v>166</v>
      </c>
      <c r="I24" s="12"/>
      <c r="J24" s="12"/>
      <c r="K24" s="19">
        <f t="array" ref="K24">IF(H24="","",$J$14+INT($H$5*IFERROR(INDEX(Data!$B$5:$B$8,MATCH(I24,Data!$A$5:$A$8,0)),0))+J24)</f>
        <v>0</v>
      </c>
    </row>
    <row r="25" ht="21.75" customHeight="1">
      <c r="G25" s="23" t="s">
        <v>193</v>
      </c>
      <c r="H25" s="12" t="s">
        <v>167</v>
      </c>
      <c r="I25" s="12"/>
      <c r="J25" s="12"/>
      <c r="K25" s="19">
        <f t="array" ref="K25">IF(H25="","",$J$15+INT($H$5*IFERROR(INDEX(Data!$B$5:$B$8,MATCH(I25,Data!$A$5:$A$8,0)),0))+J25)</f>
        <v>0</v>
      </c>
    </row>
    <row r="26" ht="21.75" customHeight="1">
      <c r="G26" s="23" t="s">
        <v>194</v>
      </c>
      <c r="H26" s="12" t="s">
        <v>168</v>
      </c>
      <c r="I26" s="12"/>
      <c r="J26" s="12"/>
      <c r="K26" s="19">
        <f t="array" ref="K26">IF(H26="","",$J$16+INT($H$5*IFERROR(INDEX(Data!$B$5:$B$8,MATCH(I26,Data!$A$5:$A$8,0)),0))+J26)</f>
        <v>0</v>
      </c>
    </row>
    <row r="27" ht="21.75" customHeight="1">
      <c r="A27" s="7" t="s">
        <v>195</v>
      </c>
      <c r="B27" s="10"/>
      <c r="D27" s="7" t="s">
        <v>196</v>
      </c>
      <c r="E27" s="10"/>
      <c r="G27" s="23" t="s">
        <v>197</v>
      </c>
      <c r="H27" s="12" t="s">
        <v>166</v>
      </c>
      <c r="I27" s="12"/>
      <c r="J27" s="12"/>
      <c r="K27" s="19">
        <f t="array" ref="K27">IF(H27="","",$J$14+INT($H$5*IFERROR(INDEX(Data!$B$5:$B$8,MATCH(I27,Data!$A$5:$A$8,0)),0))+J27)</f>
        <v>0</v>
      </c>
    </row>
    <row r="28" ht="21.75" customHeight="1">
      <c r="A28" s="15" t="s">
        <v>198</v>
      </c>
      <c r="B28" s="15" t="s">
        <v>199</v>
      </c>
      <c r="D28" s="15" t="s">
        <v>198</v>
      </c>
      <c r="E28" s="15" t="s">
        <v>199</v>
      </c>
      <c r="G28" s="23" t="s">
        <v>200</v>
      </c>
      <c r="H28" s="12" t="s">
        <v>167</v>
      </c>
      <c r="I28" s="12"/>
      <c r="J28" s="12"/>
      <c r="K28" s="19">
        <f t="array" ref="K28">IF(H28="","",$J$15+INT($H$5*IFERROR(INDEX(Data!$B$5:$B$8,MATCH(I28,Data!$A$5:$A$8,0)),0))+J28)</f>
        <v>0</v>
      </c>
    </row>
    <row r="29" ht="21.75" customHeight="1">
      <c r="A29" s="23" t="s">
        <v>201</v>
      </c>
      <c r="B29" s="19">
        <f>10+K30</f>
        <v>10</v>
      </c>
      <c r="D29" s="23" t="s">
        <v>202</v>
      </c>
      <c r="E29" s="19" t="str">
        <f>IF(B6="None","",IF(B6="STR",$J$11,IF(B6="DEX",$J$12,IF(B6="CON",$J$13,IF(B6="INT",$J$14,IF(B6="WIS",$J$15,IF(B6="CHA",$J$16,"")))))))</f>
        <v/>
      </c>
      <c r="G29" s="23" t="s">
        <v>203</v>
      </c>
      <c r="H29" s="12" t="s">
        <v>166</v>
      </c>
      <c r="I29" s="12"/>
      <c r="J29" s="12"/>
      <c r="K29" s="19">
        <f t="array" ref="K29">IF(H29="","",$J$14+INT($H$5*IFERROR(INDEX(Data!$B$5:$B$8,MATCH(I29,Data!$A$5:$A$8,0)),0))+J29)</f>
        <v>0</v>
      </c>
    </row>
    <row r="30" ht="21.75" customHeight="1">
      <c r="A30" s="23" t="s">
        <v>204</v>
      </c>
      <c r="B30" s="19">
        <f>10+K25</f>
        <v>10</v>
      </c>
      <c r="D30" s="23" t="s">
        <v>205</v>
      </c>
      <c r="E30" s="19" t="str">
        <f>IF(E29="","",E29+$H$5+E6)</f>
        <v/>
      </c>
      <c r="G30" s="23" t="s">
        <v>206</v>
      </c>
      <c r="H30" s="12" t="s">
        <v>167</v>
      </c>
      <c r="I30" s="12"/>
      <c r="J30" s="12"/>
      <c r="K30" s="19">
        <f t="array" ref="K30">IF(H30="","",$J$15+INT($H$5*IFERROR(INDEX(Data!$B$5:$B$8,MATCH(I30,Data!$A$5:$A$8,0)),0))+J30)</f>
        <v>0</v>
      </c>
    </row>
    <row r="31" ht="21.75" customHeight="1">
      <c r="A31" s="23" t="s">
        <v>209</v>
      </c>
      <c r="B31" s="19">
        <f>10+K27</f>
        <v>10</v>
      </c>
      <c r="D31" s="23" t="s">
        <v>210</v>
      </c>
      <c r="E31" s="12" t="str">
        <f>IF(E29="","",8+E29+$H$5+H6)</f>
        <v/>
      </c>
      <c r="G31" s="23" t="s">
        <v>211</v>
      </c>
      <c r="H31" s="12" t="s">
        <v>168</v>
      </c>
      <c r="I31" s="12"/>
      <c r="J31" s="12"/>
      <c r="K31" s="19">
        <f t="array" ref="K31">IF(H31="","",$J$16+INT($H$5*IFERROR(INDEX(Data!$B$5:$B$8,MATCH(I31,Data!$A$5:$A$8,0)),0))+J31)</f>
        <v>0</v>
      </c>
    </row>
    <row r="32" ht="21.75" customHeight="1">
      <c r="G32" s="23" t="s">
        <v>212</v>
      </c>
      <c r="H32" s="12" t="s">
        <v>168</v>
      </c>
      <c r="I32" s="12"/>
      <c r="J32" s="12"/>
      <c r="K32" s="19">
        <f t="array" ref="K32">IF(H32="","",$J$16+INT($H$5*IFERROR(INDEX(Data!$B$5:$B$8,MATCH(I32,Data!$A$5:$A$8,0)),0))+J32)</f>
        <v>0</v>
      </c>
    </row>
    <row r="33" ht="21.75" customHeight="1">
      <c r="G33" s="23" t="s">
        <v>213</v>
      </c>
      <c r="H33" s="12" t="s">
        <v>166</v>
      </c>
      <c r="I33" s="12"/>
      <c r="J33" s="12"/>
      <c r="K33" s="19">
        <f t="array" ref="K33">IF(H33="","",$J$14+INT($H$5*IFERROR(INDEX(Data!$B$5:$B$8,MATCH(I33,Data!$A$5:$A$8,0)),0))+J33)</f>
        <v>0</v>
      </c>
    </row>
    <row r="34" ht="21.75" customHeight="1">
      <c r="G34" s="23" t="s">
        <v>214</v>
      </c>
      <c r="H34" s="12" t="s">
        <v>164</v>
      </c>
      <c r="I34" s="12"/>
      <c r="J34" s="12"/>
      <c r="K34" s="19">
        <f t="array" ref="K34">IF(H34="","",$J$12+INT($H$5*IFERROR(INDEX(Data!$B$5:$B$8,MATCH(I34,Data!$A$5:$A$8,0)),0))+J34)</f>
        <v>0</v>
      </c>
    </row>
    <row r="35" ht="21.75" customHeight="1">
      <c r="G35" s="23" t="s">
        <v>215</v>
      </c>
      <c r="H35" s="12" t="s">
        <v>164</v>
      </c>
      <c r="I35" s="12"/>
      <c r="J35" s="12"/>
      <c r="K35" s="19">
        <f t="array" ref="K35">IF(H35="","",$J$12+INT($H$5*IFERROR(INDEX(Data!$B$5:$B$8,MATCH(I35,Data!$A$5:$A$8,0)),0))+J35)</f>
        <v>0</v>
      </c>
    </row>
    <row r="36" ht="21.75" customHeight="1">
      <c r="G36" s="23" t="s">
        <v>216</v>
      </c>
      <c r="H36" s="12" t="s">
        <v>167</v>
      </c>
      <c r="I36" s="12"/>
      <c r="J36" s="12"/>
      <c r="K36" s="19">
        <f t="array" ref="K36">IF(H36="","",$J$15+INT($H$5*IFERROR(INDEX(Data!$B$5:$B$8,MATCH(I36,Data!$A$5:$A$8,0)),0))+J36)</f>
        <v>0</v>
      </c>
    </row>
    <row r="37" ht="21.75" customHeight="1"/>
    <row r="38" ht="21.75" customHeight="1"/>
    <row r="39" ht="21.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K1"/>
    <mergeCell ref="A3:K3"/>
    <mergeCell ref="A9:F9"/>
    <mergeCell ref="H9:J9"/>
    <mergeCell ref="A17:E17"/>
    <mergeCell ref="G17:K17"/>
    <mergeCell ref="A27:B27"/>
    <mergeCell ref="D27:E27"/>
  </mergeCells>
  <dataValidations>
    <dataValidation type="list" allowBlank="1" sqref="B6">
      <formula1>"None,STR,DEX,CON,INT,WIS,CHA"</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2.0" topLeftCell="A13" activePane="bottomLeft" state="frozen"/>
      <selection activeCell="B14" sqref="B14" pane="bottomLeft"/>
    </sheetView>
  </sheetViews>
  <sheetFormatPr customHeight="1" defaultColWidth="14.43" defaultRowHeight="15.0"/>
  <cols>
    <col customWidth="1" min="1" max="3" width="10.0"/>
    <col customWidth="1" min="4" max="5" width="18.0"/>
    <col customWidth="1" min="6" max="7" width="14.0"/>
    <col customWidth="1" min="8" max="8" width="12.0"/>
    <col customWidth="1" min="9" max="11" width="10.0"/>
    <col customWidth="1" min="12" max="13" width="12.0"/>
    <col customWidth="1" min="14" max="16" width="14.0"/>
    <col customWidth="1" min="17" max="17" width="24.0"/>
    <col customWidth="1" min="18" max="18" width="18.0"/>
    <col customWidth="1" min="19" max="19" width="10.0"/>
    <col customWidth="1" min="20" max="20" width="12.0"/>
    <col customWidth="1" min="21" max="21" width="10.0"/>
    <col customWidth="1" min="22" max="22" width="14.0"/>
    <col customWidth="1" min="23" max="23" width="12.0"/>
    <col customWidth="1" min="24" max="24" width="14.0"/>
    <col customWidth="1" min="25" max="25" width="26.0"/>
    <col customWidth="1" min="26" max="29" width="12.0"/>
    <col customWidth="1" min="30" max="31" width="10.0"/>
    <col customWidth="1" min="32" max="32" width="12.0"/>
    <col customWidth="1" min="33" max="38" width="10.0"/>
  </cols>
  <sheetData>
    <row r="1">
      <c r="A1" s="1" t="s">
        <v>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5"/>
    </row>
    <row r="3">
      <c r="A3" s="7" t="s">
        <v>17</v>
      </c>
      <c r="B3" s="9"/>
      <c r="C3" s="9"/>
      <c r="D3" s="9"/>
      <c r="E3" s="9"/>
      <c r="F3" s="10"/>
    </row>
    <row r="4">
      <c r="A4" s="11" t="s">
        <v>23</v>
      </c>
      <c r="B4" s="12"/>
    </row>
    <row r="5">
      <c r="A5" s="11" t="s">
        <v>27</v>
      </c>
      <c r="B5" s="12"/>
    </row>
    <row r="6">
      <c r="A6" s="11" t="s">
        <v>33</v>
      </c>
      <c r="B6" s="12"/>
    </row>
    <row r="7">
      <c r="A7" s="11" t="s">
        <v>45</v>
      </c>
      <c r="B7" s="12">
        <v>10.0</v>
      </c>
    </row>
    <row r="8">
      <c r="A8" s="11" t="s">
        <v>52</v>
      </c>
      <c r="B8" s="12"/>
      <c r="D8" s="11" t="s">
        <v>55</v>
      </c>
      <c r="E8" s="12"/>
    </row>
    <row r="9">
      <c r="A9" s="11" t="s">
        <v>72</v>
      </c>
      <c r="B9" s="12" t="str">
        <f t="array" ref="B9">IF(B4="","",IFERROR(INDEX(Data!$R$5:$R$16,MATCH(B4,Data!$Q$5:$Q$16,0)),B7)+MIN(Character!$J$12,IF(B8="",IFERROR(INDEX(Data!$S$5:$S$16,MATCH(B4,Data!$Q$5:$Q$16,0)),99),B8))+IFERROR(INDEX(Data!$Y$5:$Y$6,MATCH(B5,Data!$X$5:$X$6,0)),0)+B6)</f>
        <v/>
      </c>
      <c r="D9" s="11" t="s">
        <v>101</v>
      </c>
      <c r="E9" s="12"/>
    </row>
    <row r="11">
      <c r="A11" s="7" t="s">
        <v>103</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10"/>
    </row>
    <row r="12">
      <c r="A12" s="15" t="s">
        <v>118</v>
      </c>
      <c r="B12" s="15" t="s">
        <v>39</v>
      </c>
      <c r="C12" s="15" t="s">
        <v>120</v>
      </c>
      <c r="D12" s="15" t="s">
        <v>121</v>
      </c>
      <c r="E12" s="15" t="s">
        <v>122</v>
      </c>
      <c r="F12" s="15" t="s">
        <v>123</v>
      </c>
      <c r="G12" s="15" t="s">
        <v>125</v>
      </c>
      <c r="H12" s="15" t="s">
        <v>127</v>
      </c>
      <c r="I12" s="15" t="s">
        <v>129</v>
      </c>
      <c r="J12" s="15" t="s">
        <v>131</v>
      </c>
      <c r="K12" s="15" t="s">
        <v>132</v>
      </c>
      <c r="L12" s="15" t="s">
        <v>133</v>
      </c>
      <c r="M12" s="15" t="s">
        <v>134</v>
      </c>
      <c r="N12" s="15" t="s">
        <v>135</v>
      </c>
      <c r="O12" s="15" t="s">
        <v>137</v>
      </c>
      <c r="P12" s="15" t="s">
        <v>138</v>
      </c>
      <c r="Q12" s="15" t="s">
        <v>68</v>
      </c>
      <c r="R12" s="15" t="s">
        <v>139</v>
      </c>
      <c r="S12" s="15" t="s">
        <v>140</v>
      </c>
      <c r="T12" s="15" t="s">
        <v>141</v>
      </c>
      <c r="U12" s="15" t="s">
        <v>142</v>
      </c>
      <c r="V12" s="15" t="s">
        <v>143</v>
      </c>
      <c r="W12" s="15" t="s">
        <v>58</v>
      </c>
      <c r="X12" s="15" t="s">
        <v>145</v>
      </c>
      <c r="Y12" s="15" t="s">
        <v>147</v>
      </c>
      <c r="Z12" s="15" t="s">
        <v>148</v>
      </c>
      <c r="AA12" s="15" t="s">
        <v>149</v>
      </c>
      <c r="AB12" s="15" t="s">
        <v>150</v>
      </c>
      <c r="AC12" s="15" t="s">
        <v>151</v>
      </c>
      <c r="AD12" s="15" t="s">
        <v>152</v>
      </c>
      <c r="AE12" s="15" t="s">
        <v>154</v>
      </c>
      <c r="AF12" s="15" t="s">
        <v>155</v>
      </c>
      <c r="AG12" s="15" t="s">
        <v>156</v>
      </c>
      <c r="AH12" s="15" t="s">
        <v>157</v>
      </c>
      <c r="AI12" s="15" t="s">
        <v>158</v>
      </c>
      <c r="AJ12" s="15" t="s">
        <v>159</v>
      </c>
      <c r="AK12" s="15" t="s">
        <v>162</v>
      </c>
      <c r="AL12" s="15" t="s">
        <v>163</v>
      </c>
    </row>
    <row r="13">
      <c r="A13" s="12"/>
      <c r="B13" s="12"/>
      <c r="C13" s="12"/>
      <c r="D13" s="12"/>
      <c r="E13" s="12"/>
      <c r="F13" s="12"/>
      <c r="G13" s="12"/>
      <c r="H13" s="12"/>
      <c r="I13" s="12"/>
      <c r="J13" s="12"/>
      <c r="K13" s="12"/>
      <c r="L13" s="12"/>
      <c r="M13" s="12"/>
      <c r="N13" s="12"/>
      <c r="O13" s="12"/>
      <c r="P13" s="12"/>
      <c r="Q13" s="12"/>
      <c r="R13" s="20" t="str">
        <f t="shared" ref="R13:R28" si="2">IF(E13&lt;&gt;"",E13,D13)</f>
        <v/>
      </c>
      <c r="S13" s="22" t="str">
        <f t="array" ref="S13">IF(D13="","",IF(F13="None",0,IF(F13="Custom",L13,IF(F13="STR",Character!$J$11,IF(F13="DEX",Character!$J$12,IF(F13="Finesse",MAX(Character!$J$11,Character!$J$12),IF(F13="Auto",IF(AK13="TRUE",Character!$J$12,IF(AD13="TRUE",MAX(Character!$J$11,Character!$J$12),Character!$J$11)),0))))))+INT(Character!$H$5*IFERROR(INDEX(Data!$B$5:$B$8,MATCH(H13,Data!$A$5:$A$8,0)),0))+I13+J13)</f>
        <v/>
      </c>
      <c r="T13" s="20" t="str">
        <f t="shared" ref="T13:T28" si="3">IF(D13="","",IF(N13&lt;&gt;"",N13,IF(AND(C13="Both",AG13="TRUE",AA13&lt;&gt;""),AA13,Z13)))</f>
        <v/>
      </c>
      <c r="U13" s="22" t="str">
        <f>IF(D13="","",IF(G13="None",0,IF(G13="Custom",M13,IF(G13="STR",Character!$J$11,IF(G13="DEX",Character!$J$12,IF(G13="Finesse",MAX(Character!$J$11,Character!$J$12),IF(G13="Auto",IF(AK13="TRUE",Character!$J$12,IF(AD13="TRUE",MAX(Character!$J$11,Character!$J$12),Character!$J$11)),0))))))+I13+K13)</f>
        <v/>
      </c>
      <c r="V13" s="20" t="str">
        <f t="shared" ref="V13:V28" si="4">IF(T13="","",T13&amp;IF(U13&gt;0,"+"&amp;U13,IF(U13&lt;0,U13,"")))</f>
        <v/>
      </c>
      <c r="W13" s="20" t="str">
        <f t="shared" ref="W13:X13" si="1">IF(O13&lt;&gt;"",O13,AB13)</f>
        <v/>
      </c>
      <c r="X13" s="20" t="str">
        <f t="shared" si="1"/>
        <v/>
      </c>
      <c r="Y13" s="20" t="str">
        <f t="shared" ref="Y13:Y28" si="6">IF(C13&lt;&gt;"Off","",IF(OR(AE13="TRUE",$E$9="TRUE"),"Bonus Action; no ability mod to damage unless TWF Style is TRUE","Check rules: off-hand usually needs a Light weapon or Dual Wielder"))</f>
        <v/>
      </c>
      <c r="Z13" s="12" t="str">
        <f t="array" ref="Z13">IFERROR(INDEX(Data!$AC$5:$AC$24,MATCH(D13,Data!$AA$5:$AA$24,0)),"")</f>
        <v/>
      </c>
      <c r="AA13" s="12" t="str">
        <f t="array" ref="AA13">IFERROR(INDEX(Data!$AF$5:$AF$24,MATCH(D13,Data!$AA$5:$AA$24,0)),"")</f>
        <v/>
      </c>
      <c r="AB13" s="12" t="str">
        <f t="array" ref="AB13">IFERROR(INDEX(Data!$AD$5:$AD$24,MATCH(D13,Data!$AA$5:$AA$24,0)),"")</f>
        <v/>
      </c>
      <c r="AC13" s="12" t="str">
        <f t="array" ref="AC13">IFERROR(INDEX(Data!$AE$5:$AE$24,MATCH(D13,Data!$AA$5:$AA$24,0)),"")</f>
        <v/>
      </c>
      <c r="AD13" s="12" t="str">
        <f t="array" ref="AD13">IFERROR(INDEX(Data!$AG$5:$AG$24,MATCH(D13,Data!$AA$5:$AA$24,0)),"FALSE")</f>
        <v>FALSE</v>
      </c>
      <c r="AE13" s="12" t="str">
        <f t="array" ref="AE13">IFERROR(INDEX(Data!$AH$5:$AH$24,MATCH(D13,Data!$AA$5:$AA$24,0)),"FALSE")</f>
        <v>FALSE</v>
      </c>
      <c r="AF13" s="12" t="str">
        <f t="array" ref="AF13">IFERROR(INDEX(Data!$AI$5:$AI$24,MATCH(D13,Data!$AA$5:$AA$24,0)),"FALSE")</f>
        <v>FALSE</v>
      </c>
      <c r="AG13" s="12" t="str">
        <f t="array" ref="AG13">IFERROR(INDEX(Data!$AJ$5:$AJ$24,MATCH(D13,Data!$AA$5:$AA$24,0)),"FALSE")</f>
        <v>FALSE</v>
      </c>
      <c r="AH13" s="12" t="str">
        <f t="array" ref="AH13">IFERROR(INDEX(Data!$AK$5:$AK$24,MATCH(D13,Data!$AA$5:$AA$24,0)),"FALSE")</f>
        <v>FALSE</v>
      </c>
      <c r="AI13" s="12" t="str">
        <f t="array" ref="AI13">IFERROR(INDEX(Data!$AL$5:$AL$24,MATCH(D13,Data!$AA$5:$AA$24,0)),"FALSE")</f>
        <v>FALSE</v>
      </c>
      <c r="AJ13" s="12" t="str">
        <f t="array" ref="AJ13">IFERROR(INDEX(Data!$AM$5:$AM$24,MATCH(D13,Data!$AA$5:$AA$24,0)),"FALSE")</f>
        <v>FALSE</v>
      </c>
      <c r="AK13" s="12" t="str">
        <f t="array" ref="AK13">IFERROR(INDEX(Data!$AN$5:$AN$24,MATCH(D13,Data!$AA$5:$AA$24,0)),"FALSE")</f>
        <v>FALSE</v>
      </c>
      <c r="AL13" s="12" t="str">
        <f t="array" ref="AL13">IFERROR(INDEX(Data!$AO$5:$AO$24,MATCH(D13,Data!$AA$5:$AA$24,0)),"FALSE")</f>
        <v>FALSE</v>
      </c>
    </row>
    <row r="14">
      <c r="A14" s="12"/>
      <c r="B14" s="12"/>
      <c r="C14" s="12"/>
      <c r="D14" s="12"/>
      <c r="E14" s="12"/>
      <c r="F14" s="12"/>
      <c r="G14" s="12"/>
      <c r="H14" s="12"/>
      <c r="I14" s="12"/>
      <c r="J14" s="12"/>
      <c r="K14" s="12"/>
      <c r="L14" s="12"/>
      <c r="M14" s="12"/>
      <c r="N14" s="12"/>
      <c r="O14" s="12"/>
      <c r="P14" s="12"/>
      <c r="Q14" s="12"/>
      <c r="R14" s="20" t="str">
        <f t="shared" si="2"/>
        <v/>
      </c>
      <c r="S14" s="22" t="str">
        <f t="array" ref="S14">IF(D14="","",IF(F14="None",0,IF(F14="Custom",L14,IF(F14="STR",Character!$J$11,IF(F14="DEX",Character!$J$12,IF(F14="Finesse",MAX(Character!$J$11,Character!$J$12),IF(F14="Auto",IF(AK14="TRUE",Character!$J$12,IF(AD14="TRUE",MAX(Character!$J$11,Character!$J$12),Character!$J$11)),0))))))+INT(Character!$H$5*IFERROR(INDEX(Data!$B$5:$B$8,MATCH(H14,Data!$A$5:$A$8,0)),0))+I14+J14)</f>
        <v/>
      </c>
      <c r="T14" s="20" t="str">
        <f t="shared" si="3"/>
        <v/>
      </c>
      <c r="U14" s="22" t="str">
        <f>IF(D14="","",IF(G14="None",0,IF(G14="Custom",M14,IF(G14="STR",Character!$J$11,IF(G14="DEX",Character!$J$12,IF(G14="Finesse",MAX(Character!$J$11,Character!$J$12),IF(G14="Auto",IF(AK14="TRUE",Character!$J$12,IF(AD14="TRUE",MAX(Character!$J$11,Character!$J$12),Character!$J$11)),0))))))+I14+K14)</f>
        <v/>
      </c>
      <c r="V14" s="20" t="str">
        <f t="shared" si="4"/>
        <v/>
      </c>
      <c r="W14" s="20" t="str">
        <f t="shared" ref="W14:X14" si="5">IF(O14&lt;&gt;"",O14,AB14)</f>
        <v/>
      </c>
      <c r="X14" s="20" t="str">
        <f t="shared" si="5"/>
        <v/>
      </c>
      <c r="Y14" s="20" t="str">
        <f t="shared" si="6"/>
        <v/>
      </c>
      <c r="Z14" s="12" t="str">
        <f t="array" ref="Z14">IFERROR(INDEX(Data!$AC$5:$AC$24,MATCH(D14,Data!$AA$5:$AA$24,0)),"")</f>
        <v/>
      </c>
      <c r="AA14" s="12" t="str">
        <f t="array" ref="AA14">IFERROR(INDEX(Data!$AF$5:$AF$24,MATCH(D14,Data!$AA$5:$AA$24,0)),"")</f>
        <v/>
      </c>
      <c r="AB14" s="12" t="str">
        <f t="array" ref="AB14">IFERROR(INDEX(Data!$AD$5:$AD$24,MATCH(D14,Data!$AA$5:$AA$24,0)),"")</f>
        <v/>
      </c>
      <c r="AC14" s="12" t="str">
        <f t="array" ref="AC14">IFERROR(INDEX(Data!$AE$5:$AE$24,MATCH(D14,Data!$AA$5:$AA$24,0)),"")</f>
        <v/>
      </c>
      <c r="AD14" s="12" t="str">
        <f t="array" ref="AD14">IFERROR(INDEX(Data!$AG$5:$AG$24,MATCH(D14,Data!$AA$5:$AA$24,0)),"FALSE")</f>
        <v>FALSE</v>
      </c>
      <c r="AE14" s="12" t="str">
        <f t="array" ref="AE14">IFERROR(INDEX(Data!$AH$5:$AH$24,MATCH(D14,Data!$AA$5:$AA$24,0)),"FALSE")</f>
        <v>FALSE</v>
      </c>
      <c r="AF14" s="12" t="str">
        <f t="array" ref="AF14">IFERROR(INDEX(Data!$AI$5:$AI$24,MATCH(D14,Data!$AA$5:$AA$24,0)),"FALSE")</f>
        <v>FALSE</v>
      </c>
      <c r="AG14" s="12" t="str">
        <f t="array" ref="AG14">IFERROR(INDEX(Data!$AJ$5:$AJ$24,MATCH(D14,Data!$AA$5:$AA$24,0)),"FALSE")</f>
        <v>FALSE</v>
      </c>
      <c r="AH14" s="12" t="str">
        <f t="array" ref="AH14">IFERROR(INDEX(Data!$AK$5:$AK$24,MATCH(D14,Data!$AA$5:$AA$24,0)),"FALSE")</f>
        <v>FALSE</v>
      </c>
      <c r="AI14" s="12" t="str">
        <f t="array" ref="AI14">IFERROR(INDEX(Data!$AL$5:$AL$24,MATCH(D14,Data!$AA$5:$AA$24,0)),"FALSE")</f>
        <v>FALSE</v>
      </c>
      <c r="AJ14" s="12" t="str">
        <f t="array" ref="AJ14">IFERROR(INDEX(Data!$AM$5:$AM$24,MATCH(D14,Data!$AA$5:$AA$24,0)),"FALSE")</f>
        <v>FALSE</v>
      </c>
      <c r="AK14" s="12" t="str">
        <f t="array" ref="AK14">IFERROR(INDEX(Data!$AN$5:$AN$24,MATCH(D14,Data!$AA$5:$AA$24,0)),"FALSE")</f>
        <v>FALSE</v>
      </c>
      <c r="AL14" s="12" t="str">
        <f t="array" ref="AL14">IFERROR(INDEX(Data!$AO$5:$AO$24,MATCH(D14,Data!$AA$5:$AA$24,0)),"FALSE")</f>
        <v>FALSE</v>
      </c>
    </row>
    <row r="15">
      <c r="A15" s="12"/>
      <c r="B15" s="12"/>
      <c r="C15" s="12"/>
      <c r="D15" s="12"/>
      <c r="E15" s="12"/>
      <c r="F15" s="12"/>
      <c r="G15" s="12"/>
      <c r="H15" s="12"/>
      <c r="I15" s="12"/>
      <c r="J15" s="12"/>
      <c r="K15" s="12"/>
      <c r="L15" s="12"/>
      <c r="M15" s="12"/>
      <c r="N15" s="12"/>
      <c r="O15" s="12"/>
      <c r="P15" s="12"/>
      <c r="Q15" s="12"/>
      <c r="R15" s="20" t="str">
        <f t="shared" si="2"/>
        <v/>
      </c>
      <c r="S15" s="22" t="str">
        <f t="array" ref="S15">IF(D15="","",IF(F15="None",0,IF(F15="Custom",L15,IF(F15="STR",Character!$J$11,IF(F15="DEX",Character!$J$12,IF(F15="Finesse",MAX(Character!$J$11,Character!$J$12),IF(F15="Auto",IF(AK15="TRUE",Character!$J$12,IF(AD15="TRUE",MAX(Character!$J$11,Character!$J$12),Character!$J$11)),0))))))+INT(Character!$H$5*IFERROR(INDEX(Data!$B$5:$B$8,MATCH(H15,Data!$A$5:$A$8,0)),0))+I15+J15)</f>
        <v/>
      </c>
      <c r="T15" s="20" t="str">
        <f t="shared" si="3"/>
        <v/>
      </c>
      <c r="U15" s="22" t="str">
        <f>IF(D15="","",IF(G15="None",0,IF(G15="Custom",M15,IF(G15="STR",Character!$J$11,IF(G15="DEX",Character!$J$12,IF(G15="Finesse",MAX(Character!$J$11,Character!$J$12),IF(G15="Auto",IF(AK15="TRUE",Character!$J$12,IF(AD15="TRUE",MAX(Character!$J$11,Character!$J$12),Character!$J$11)),0))))))+I15+K15)</f>
        <v/>
      </c>
      <c r="V15" s="20" t="str">
        <f t="shared" si="4"/>
        <v/>
      </c>
      <c r="W15" s="20" t="str">
        <f t="shared" ref="W15:X15" si="7">IF(O15&lt;&gt;"",O15,AB15)</f>
        <v/>
      </c>
      <c r="X15" s="20" t="str">
        <f t="shared" si="7"/>
        <v/>
      </c>
      <c r="Y15" s="20" t="str">
        <f t="shared" si="6"/>
        <v/>
      </c>
      <c r="Z15" s="12" t="str">
        <f t="array" ref="Z15">IFERROR(INDEX(Data!$AC$5:$AC$24,MATCH(D15,Data!$AA$5:$AA$24,0)),"")</f>
        <v/>
      </c>
      <c r="AA15" s="12" t="str">
        <f t="array" ref="AA15">IFERROR(INDEX(Data!$AF$5:$AF$24,MATCH(D15,Data!$AA$5:$AA$24,0)),"")</f>
        <v/>
      </c>
      <c r="AB15" s="12" t="str">
        <f t="array" ref="AB15">IFERROR(INDEX(Data!$AD$5:$AD$24,MATCH(D15,Data!$AA$5:$AA$24,0)),"")</f>
        <v/>
      </c>
      <c r="AC15" s="12" t="str">
        <f t="array" ref="AC15">IFERROR(INDEX(Data!$AE$5:$AE$24,MATCH(D15,Data!$AA$5:$AA$24,0)),"")</f>
        <v/>
      </c>
      <c r="AD15" s="12" t="str">
        <f t="array" ref="AD15">IFERROR(INDEX(Data!$AG$5:$AG$24,MATCH(D15,Data!$AA$5:$AA$24,0)),"FALSE")</f>
        <v>FALSE</v>
      </c>
      <c r="AE15" s="12" t="str">
        <f t="array" ref="AE15">IFERROR(INDEX(Data!$AH$5:$AH$24,MATCH(D15,Data!$AA$5:$AA$24,0)),"FALSE")</f>
        <v>FALSE</v>
      </c>
      <c r="AF15" s="12" t="str">
        <f t="array" ref="AF15">IFERROR(INDEX(Data!$AI$5:$AI$24,MATCH(D15,Data!$AA$5:$AA$24,0)),"FALSE")</f>
        <v>FALSE</v>
      </c>
      <c r="AG15" s="12" t="str">
        <f t="array" ref="AG15">IFERROR(INDEX(Data!$AJ$5:$AJ$24,MATCH(D15,Data!$AA$5:$AA$24,0)),"FALSE")</f>
        <v>FALSE</v>
      </c>
      <c r="AH15" s="12" t="str">
        <f t="array" ref="AH15">IFERROR(INDEX(Data!$AK$5:$AK$24,MATCH(D15,Data!$AA$5:$AA$24,0)),"FALSE")</f>
        <v>FALSE</v>
      </c>
      <c r="AI15" s="12" t="str">
        <f t="array" ref="AI15">IFERROR(INDEX(Data!$AL$5:$AL$24,MATCH(D15,Data!$AA$5:$AA$24,0)),"FALSE")</f>
        <v>FALSE</v>
      </c>
      <c r="AJ15" s="12" t="str">
        <f t="array" ref="AJ15">IFERROR(INDEX(Data!$AM$5:$AM$24,MATCH(D15,Data!$AA$5:$AA$24,0)),"FALSE")</f>
        <v>FALSE</v>
      </c>
      <c r="AK15" s="12" t="str">
        <f t="array" ref="AK15">IFERROR(INDEX(Data!$AN$5:$AN$24,MATCH(D15,Data!$AA$5:$AA$24,0)),"FALSE")</f>
        <v>FALSE</v>
      </c>
      <c r="AL15" s="12" t="str">
        <f t="array" ref="AL15">IFERROR(INDEX(Data!$AO$5:$AO$24,MATCH(D15,Data!$AA$5:$AA$24,0)),"FALSE")</f>
        <v>FALSE</v>
      </c>
    </row>
    <row r="16">
      <c r="A16" s="12"/>
      <c r="B16" s="12"/>
      <c r="C16" s="12"/>
      <c r="D16" s="12"/>
      <c r="E16" s="12"/>
      <c r="F16" s="12"/>
      <c r="G16" s="12"/>
      <c r="H16" s="12"/>
      <c r="I16" s="12"/>
      <c r="J16" s="12"/>
      <c r="K16" s="12"/>
      <c r="L16" s="12"/>
      <c r="M16" s="12"/>
      <c r="N16" s="12"/>
      <c r="O16" s="12"/>
      <c r="P16" s="12"/>
      <c r="Q16" s="12"/>
      <c r="R16" s="20" t="str">
        <f t="shared" si="2"/>
        <v/>
      </c>
      <c r="S16" s="22" t="str">
        <f t="array" ref="S16">IF(D16="","",IF(F16="None",0,IF(F16="Custom",L16,IF(F16="STR",Character!$J$11,IF(F16="DEX",Character!$J$12,IF(F16="Finesse",MAX(Character!$J$11,Character!$J$12),IF(F16="Auto",IF(AK16="TRUE",Character!$J$12,IF(AD16="TRUE",MAX(Character!$J$11,Character!$J$12),Character!$J$11)),0))))))+INT(Character!$H$5*IFERROR(INDEX(Data!$B$5:$B$8,MATCH(H16,Data!$A$5:$A$8,0)),0))+I16+J16)</f>
        <v/>
      </c>
      <c r="T16" s="20" t="str">
        <f t="shared" si="3"/>
        <v/>
      </c>
      <c r="U16" s="22" t="str">
        <f>IF(D16="","",IF(G16="None",0,IF(G16="Custom",M16,IF(G16="STR",Character!$J$11,IF(G16="DEX",Character!$J$12,IF(G16="Finesse",MAX(Character!$J$11,Character!$J$12),IF(G16="Auto",IF(AK16="TRUE",Character!$J$12,IF(AD16="TRUE",MAX(Character!$J$11,Character!$J$12),Character!$J$11)),0))))))+I16+K16)</f>
        <v/>
      </c>
      <c r="V16" s="20" t="str">
        <f t="shared" si="4"/>
        <v/>
      </c>
      <c r="W16" s="20" t="str">
        <f t="shared" ref="W16:X16" si="8">IF(O16&lt;&gt;"",O16,AB16)</f>
        <v/>
      </c>
      <c r="X16" s="20" t="str">
        <f t="shared" si="8"/>
        <v/>
      </c>
      <c r="Y16" s="20" t="str">
        <f t="shared" si="6"/>
        <v/>
      </c>
      <c r="Z16" s="12" t="str">
        <f t="array" ref="Z16">IFERROR(INDEX(Data!$AC$5:$AC$24,MATCH(D16,Data!$AA$5:$AA$24,0)),"")</f>
        <v/>
      </c>
      <c r="AA16" s="12" t="str">
        <f t="array" ref="AA16">IFERROR(INDEX(Data!$AF$5:$AF$24,MATCH(D16,Data!$AA$5:$AA$24,0)),"")</f>
        <v/>
      </c>
      <c r="AB16" s="12" t="str">
        <f t="array" ref="AB16">IFERROR(INDEX(Data!$AD$5:$AD$24,MATCH(D16,Data!$AA$5:$AA$24,0)),"")</f>
        <v/>
      </c>
      <c r="AC16" s="12" t="str">
        <f t="array" ref="AC16">IFERROR(INDEX(Data!$AE$5:$AE$24,MATCH(D16,Data!$AA$5:$AA$24,0)),"")</f>
        <v/>
      </c>
      <c r="AD16" s="12" t="str">
        <f t="array" ref="AD16">IFERROR(INDEX(Data!$AG$5:$AG$24,MATCH(D16,Data!$AA$5:$AA$24,0)),"FALSE")</f>
        <v>FALSE</v>
      </c>
      <c r="AE16" s="12" t="str">
        <f t="array" ref="AE16">IFERROR(INDEX(Data!$AH$5:$AH$24,MATCH(D16,Data!$AA$5:$AA$24,0)),"FALSE")</f>
        <v>FALSE</v>
      </c>
      <c r="AF16" s="12" t="str">
        <f t="array" ref="AF16">IFERROR(INDEX(Data!$AI$5:$AI$24,MATCH(D16,Data!$AA$5:$AA$24,0)),"FALSE")</f>
        <v>FALSE</v>
      </c>
      <c r="AG16" s="12" t="str">
        <f t="array" ref="AG16">IFERROR(INDEX(Data!$AJ$5:$AJ$24,MATCH(D16,Data!$AA$5:$AA$24,0)),"FALSE")</f>
        <v>FALSE</v>
      </c>
      <c r="AH16" s="12" t="str">
        <f t="array" ref="AH16">IFERROR(INDEX(Data!$AK$5:$AK$24,MATCH(D16,Data!$AA$5:$AA$24,0)),"FALSE")</f>
        <v>FALSE</v>
      </c>
      <c r="AI16" s="12" t="str">
        <f t="array" ref="AI16">IFERROR(INDEX(Data!$AL$5:$AL$24,MATCH(D16,Data!$AA$5:$AA$24,0)),"FALSE")</f>
        <v>FALSE</v>
      </c>
      <c r="AJ16" s="12" t="str">
        <f t="array" ref="AJ16">IFERROR(INDEX(Data!$AM$5:$AM$24,MATCH(D16,Data!$AA$5:$AA$24,0)),"FALSE")</f>
        <v>FALSE</v>
      </c>
      <c r="AK16" s="12" t="str">
        <f t="array" ref="AK16">IFERROR(INDEX(Data!$AN$5:$AN$24,MATCH(D16,Data!$AA$5:$AA$24,0)),"FALSE")</f>
        <v>FALSE</v>
      </c>
      <c r="AL16" s="12" t="str">
        <f t="array" ref="AL16">IFERROR(INDEX(Data!$AO$5:$AO$24,MATCH(D16,Data!$AA$5:$AA$24,0)),"FALSE")</f>
        <v>FALSE</v>
      </c>
    </row>
    <row r="17">
      <c r="A17" s="12"/>
      <c r="B17" s="12"/>
      <c r="C17" s="12"/>
      <c r="D17" s="12"/>
      <c r="E17" s="12"/>
      <c r="F17" s="12"/>
      <c r="G17" s="12"/>
      <c r="H17" s="12"/>
      <c r="I17" s="12"/>
      <c r="J17" s="12"/>
      <c r="K17" s="12"/>
      <c r="L17" s="12"/>
      <c r="M17" s="12"/>
      <c r="N17" s="12"/>
      <c r="O17" s="12"/>
      <c r="P17" s="12"/>
      <c r="Q17" s="12"/>
      <c r="R17" s="20" t="str">
        <f t="shared" si="2"/>
        <v/>
      </c>
      <c r="S17" s="22" t="str">
        <f t="array" ref="S17">IF(D17="","",IF(F17="None",0,IF(F17="Custom",L17,IF(F17="STR",Character!$J$11,IF(F17="DEX",Character!$J$12,IF(F17="Finesse",MAX(Character!$J$11,Character!$J$12),IF(F17="Auto",IF(AK17="TRUE",Character!$J$12,IF(AD17="TRUE",MAX(Character!$J$11,Character!$J$12),Character!$J$11)),0))))))+INT(Character!$H$5*IFERROR(INDEX(Data!$B$5:$B$8,MATCH(H17,Data!$A$5:$A$8,0)),0))+I17+J17)</f>
        <v/>
      </c>
      <c r="T17" s="20" t="str">
        <f t="shared" si="3"/>
        <v/>
      </c>
      <c r="U17" s="22" t="str">
        <f>IF(D17="","",IF(G17="None",0,IF(G17="Custom",M17,IF(G17="STR",Character!$J$11,IF(G17="DEX",Character!$J$12,IF(G17="Finesse",MAX(Character!$J$11,Character!$J$12),IF(G17="Auto",IF(AK17="TRUE",Character!$J$12,IF(AD17="TRUE",MAX(Character!$J$11,Character!$J$12),Character!$J$11)),0))))))+I17+K17)</f>
        <v/>
      </c>
      <c r="V17" s="20" t="str">
        <f t="shared" si="4"/>
        <v/>
      </c>
      <c r="W17" s="20" t="str">
        <f t="shared" ref="W17:X17" si="9">IF(O17&lt;&gt;"",O17,AB17)</f>
        <v/>
      </c>
      <c r="X17" s="20" t="str">
        <f t="shared" si="9"/>
        <v/>
      </c>
      <c r="Y17" s="20" t="str">
        <f t="shared" si="6"/>
        <v/>
      </c>
      <c r="Z17" s="12" t="str">
        <f t="array" ref="Z17">IFERROR(INDEX(Data!$AC$5:$AC$24,MATCH(D17,Data!$AA$5:$AA$24,0)),"")</f>
        <v/>
      </c>
      <c r="AA17" s="12" t="str">
        <f t="array" ref="AA17">IFERROR(INDEX(Data!$AF$5:$AF$24,MATCH(D17,Data!$AA$5:$AA$24,0)),"")</f>
        <v/>
      </c>
      <c r="AB17" s="12" t="str">
        <f t="array" ref="AB17">IFERROR(INDEX(Data!$AD$5:$AD$24,MATCH(D17,Data!$AA$5:$AA$24,0)),"")</f>
        <v/>
      </c>
      <c r="AC17" s="12" t="str">
        <f t="array" ref="AC17">IFERROR(INDEX(Data!$AE$5:$AE$24,MATCH(D17,Data!$AA$5:$AA$24,0)),"")</f>
        <v/>
      </c>
      <c r="AD17" s="12" t="str">
        <f t="array" ref="AD17">IFERROR(INDEX(Data!$AG$5:$AG$24,MATCH(D17,Data!$AA$5:$AA$24,0)),"FALSE")</f>
        <v>FALSE</v>
      </c>
      <c r="AE17" s="12" t="str">
        <f t="array" ref="AE17">IFERROR(INDEX(Data!$AH$5:$AH$24,MATCH(D17,Data!$AA$5:$AA$24,0)),"FALSE")</f>
        <v>FALSE</v>
      </c>
      <c r="AF17" s="12" t="str">
        <f t="array" ref="AF17">IFERROR(INDEX(Data!$AI$5:$AI$24,MATCH(D17,Data!$AA$5:$AA$24,0)),"FALSE")</f>
        <v>FALSE</v>
      </c>
      <c r="AG17" s="12" t="str">
        <f t="array" ref="AG17">IFERROR(INDEX(Data!$AJ$5:$AJ$24,MATCH(D17,Data!$AA$5:$AA$24,0)),"FALSE")</f>
        <v>FALSE</v>
      </c>
      <c r="AH17" s="12" t="str">
        <f t="array" ref="AH17">IFERROR(INDEX(Data!$AK$5:$AK$24,MATCH(D17,Data!$AA$5:$AA$24,0)),"FALSE")</f>
        <v>FALSE</v>
      </c>
      <c r="AI17" s="12" t="str">
        <f t="array" ref="AI17">IFERROR(INDEX(Data!$AL$5:$AL$24,MATCH(D17,Data!$AA$5:$AA$24,0)),"FALSE")</f>
        <v>FALSE</v>
      </c>
      <c r="AJ17" s="12" t="str">
        <f t="array" ref="AJ17">IFERROR(INDEX(Data!$AM$5:$AM$24,MATCH(D17,Data!$AA$5:$AA$24,0)),"FALSE")</f>
        <v>FALSE</v>
      </c>
      <c r="AK17" s="12" t="str">
        <f t="array" ref="AK17">IFERROR(INDEX(Data!$AN$5:$AN$24,MATCH(D17,Data!$AA$5:$AA$24,0)),"FALSE")</f>
        <v>FALSE</v>
      </c>
      <c r="AL17" s="12" t="str">
        <f t="array" ref="AL17">IFERROR(INDEX(Data!$AO$5:$AO$24,MATCH(D17,Data!$AA$5:$AA$24,0)),"FALSE")</f>
        <v>FALSE</v>
      </c>
    </row>
    <row r="18">
      <c r="A18" s="12"/>
      <c r="B18" s="12"/>
      <c r="C18" s="12"/>
      <c r="D18" s="12"/>
      <c r="E18" s="12"/>
      <c r="F18" s="12"/>
      <c r="G18" s="12"/>
      <c r="H18" s="12"/>
      <c r="I18" s="12"/>
      <c r="J18" s="12"/>
      <c r="K18" s="12"/>
      <c r="L18" s="12"/>
      <c r="M18" s="12"/>
      <c r="N18" s="12"/>
      <c r="O18" s="12"/>
      <c r="P18" s="12"/>
      <c r="Q18" s="12"/>
      <c r="R18" s="20" t="str">
        <f t="shared" si="2"/>
        <v/>
      </c>
      <c r="S18" s="22" t="str">
        <f t="array" ref="S18">IF(D18="","",IF(F18="None",0,IF(F18="Custom",L18,IF(F18="STR",Character!$J$11,IF(F18="DEX",Character!$J$12,IF(F18="Finesse",MAX(Character!$J$11,Character!$J$12),IF(F18="Auto",IF(AK18="TRUE",Character!$J$12,IF(AD18="TRUE",MAX(Character!$J$11,Character!$J$12),Character!$J$11)),0))))))+INT(Character!$H$5*IFERROR(INDEX(Data!$B$5:$B$8,MATCH(H18,Data!$A$5:$A$8,0)),0))+I18+J18)</f>
        <v/>
      </c>
      <c r="T18" s="20" t="str">
        <f t="shared" si="3"/>
        <v/>
      </c>
      <c r="U18" s="22" t="str">
        <f>IF(D18="","",IF(G18="None",0,IF(G18="Custom",M18,IF(G18="STR",Character!$J$11,IF(G18="DEX",Character!$J$12,IF(G18="Finesse",MAX(Character!$J$11,Character!$J$12),IF(G18="Auto",IF(AK18="TRUE",Character!$J$12,IF(AD18="TRUE",MAX(Character!$J$11,Character!$J$12),Character!$J$11)),0))))))+I18+K18)</f>
        <v/>
      </c>
      <c r="V18" s="20" t="str">
        <f t="shared" si="4"/>
        <v/>
      </c>
      <c r="W18" s="20" t="str">
        <f t="shared" ref="W18:X18" si="10">IF(O18&lt;&gt;"",O18,AB18)</f>
        <v/>
      </c>
      <c r="X18" s="20" t="str">
        <f t="shared" si="10"/>
        <v/>
      </c>
      <c r="Y18" s="20" t="str">
        <f t="shared" si="6"/>
        <v/>
      </c>
      <c r="Z18" s="12" t="str">
        <f t="array" ref="Z18">IFERROR(INDEX(Data!$AC$5:$AC$24,MATCH(D18,Data!$AA$5:$AA$24,0)),"")</f>
        <v/>
      </c>
      <c r="AA18" s="12" t="str">
        <f t="array" ref="AA18">IFERROR(INDEX(Data!$AF$5:$AF$24,MATCH(D18,Data!$AA$5:$AA$24,0)),"")</f>
        <v/>
      </c>
      <c r="AB18" s="12" t="str">
        <f t="array" ref="AB18">IFERROR(INDEX(Data!$AD$5:$AD$24,MATCH(D18,Data!$AA$5:$AA$24,0)),"")</f>
        <v/>
      </c>
      <c r="AC18" s="12" t="str">
        <f t="array" ref="AC18">IFERROR(INDEX(Data!$AE$5:$AE$24,MATCH(D18,Data!$AA$5:$AA$24,0)),"")</f>
        <v/>
      </c>
      <c r="AD18" s="12" t="str">
        <f t="array" ref="AD18">IFERROR(INDEX(Data!$AG$5:$AG$24,MATCH(D18,Data!$AA$5:$AA$24,0)),"FALSE")</f>
        <v>FALSE</v>
      </c>
      <c r="AE18" s="12" t="str">
        <f t="array" ref="AE18">IFERROR(INDEX(Data!$AH$5:$AH$24,MATCH(D18,Data!$AA$5:$AA$24,0)),"FALSE")</f>
        <v>FALSE</v>
      </c>
      <c r="AF18" s="12" t="str">
        <f t="array" ref="AF18">IFERROR(INDEX(Data!$AI$5:$AI$24,MATCH(D18,Data!$AA$5:$AA$24,0)),"FALSE")</f>
        <v>FALSE</v>
      </c>
      <c r="AG18" s="12" t="str">
        <f t="array" ref="AG18">IFERROR(INDEX(Data!$AJ$5:$AJ$24,MATCH(D18,Data!$AA$5:$AA$24,0)),"FALSE")</f>
        <v>FALSE</v>
      </c>
      <c r="AH18" s="12" t="str">
        <f t="array" ref="AH18">IFERROR(INDEX(Data!$AK$5:$AK$24,MATCH(D18,Data!$AA$5:$AA$24,0)),"FALSE")</f>
        <v>FALSE</v>
      </c>
      <c r="AI18" s="12" t="str">
        <f t="array" ref="AI18">IFERROR(INDEX(Data!$AL$5:$AL$24,MATCH(D18,Data!$AA$5:$AA$24,0)),"FALSE")</f>
        <v>FALSE</v>
      </c>
      <c r="AJ18" s="12" t="str">
        <f t="array" ref="AJ18">IFERROR(INDEX(Data!$AM$5:$AM$24,MATCH(D18,Data!$AA$5:$AA$24,0)),"FALSE")</f>
        <v>FALSE</v>
      </c>
      <c r="AK18" s="12" t="str">
        <f t="array" ref="AK18">IFERROR(INDEX(Data!$AN$5:$AN$24,MATCH(D18,Data!$AA$5:$AA$24,0)),"FALSE")</f>
        <v>FALSE</v>
      </c>
      <c r="AL18" s="12" t="str">
        <f t="array" ref="AL18">IFERROR(INDEX(Data!$AO$5:$AO$24,MATCH(D18,Data!$AA$5:$AA$24,0)),"FALSE")</f>
        <v>FALSE</v>
      </c>
    </row>
    <row r="19">
      <c r="A19" s="12"/>
      <c r="B19" s="12"/>
      <c r="C19" s="12"/>
      <c r="D19" s="12"/>
      <c r="E19" s="12"/>
      <c r="F19" s="12"/>
      <c r="G19" s="12"/>
      <c r="H19" s="12"/>
      <c r="I19" s="12"/>
      <c r="J19" s="12"/>
      <c r="K19" s="12"/>
      <c r="L19" s="12"/>
      <c r="M19" s="12"/>
      <c r="N19" s="12"/>
      <c r="O19" s="12"/>
      <c r="P19" s="12"/>
      <c r="Q19" s="12"/>
      <c r="R19" s="20" t="str">
        <f t="shared" si="2"/>
        <v/>
      </c>
      <c r="S19" s="22" t="str">
        <f t="array" ref="S19">IF(D19="","",IF(F19="None",0,IF(F19="Custom",L19,IF(F19="STR",Character!$J$11,IF(F19="DEX",Character!$J$12,IF(F19="Finesse",MAX(Character!$J$11,Character!$J$12),IF(F19="Auto",IF(AK19="TRUE",Character!$J$12,IF(AD19="TRUE",MAX(Character!$J$11,Character!$J$12),Character!$J$11)),0))))))+INT(Character!$H$5*IFERROR(INDEX(Data!$B$5:$B$8,MATCH(H19,Data!$A$5:$A$8,0)),0))+I19+J19)</f>
        <v/>
      </c>
      <c r="T19" s="20" t="str">
        <f t="shared" si="3"/>
        <v/>
      </c>
      <c r="U19" s="22" t="str">
        <f>IF(D19="","",IF(G19="None",0,IF(G19="Custom",M19,IF(G19="STR",Character!$J$11,IF(G19="DEX",Character!$J$12,IF(G19="Finesse",MAX(Character!$J$11,Character!$J$12),IF(G19="Auto",IF(AK19="TRUE",Character!$J$12,IF(AD19="TRUE",MAX(Character!$J$11,Character!$J$12),Character!$J$11)),0))))))+I19+K19)</f>
        <v/>
      </c>
      <c r="V19" s="20" t="str">
        <f t="shared" si="4"/>
        <v/>
      </c>
      <c r="W19" s="20" t="str">
        <f t="shared" ref="W19:X19" si="11">IF(O19&lt;&gt;"",O19,AB19)</f>
        <v/>
      </c>
      <c r="X19" s="20" t="str">
        <f t="shared" si="11"/>
        <v/>
      </c>
      <c r="Y19" s="20" t="str">
        <f t="shared" si="6"/>
        <v/>
      </c>
      <c r="Z19" s="12" t="str">
        <f t="array" ref="Z19">IFERROR(INDEX(Data!$AC$5:$AC$24,MATCH(D19,Data!$AA$5:$AA$24,0)),"")</f>
        <v/>
      </c>
      <c r="AA19" s="12" t="str">
        <f t="array" ref="AA19">IFERROR(INDEX(Data!$AF$5:$AF$24,MATCH(D19,Data!$AA$5:$AA$24,0)),"")</f>
        <v/>
      </c>
      <c r="AB19" s="12" t="str">
        <f t="array" ref="AB19">IFERROR(INDEX(Data!$AD$5:$AD$24,MATCH(D19,Data!$AA$5:$AA$24,0)),"")</f>
        <v/>
      </c>
      <c r="AC19" s="12" t="str">
        <f t="array" ref="AC19">IFERROR(INDEX(Data!$AE$5:$AE$24,MATCH(D19,Data!$AA$5:$AA$24,0)),"")</f>
        <v/>
      </c>
      <c r="AD19" s="12" t="str">
        <f t="array" ref="AD19">IFERROR(INDEX(Data!$AG$5:$AG$24,MATCH(D19,Data!$AA$5:$AA$24,0)),"FALSE")</f>
        <v>FALSE</v>
      </c>
      <c r="AE19" s="12" t="str">
        <f t="array" ref="AE19">IFERROR(INDEX(Data!$AH$5:$AH$24,MATCH(D19,Data!$AA$5:$AA$24,0)),"FALSE")</f>
        <v>FALSE</v>
      </c>
      <c r="AF19" s="12" t="str">
        <f t="array" ref="AF19">IFERROR(INDEX(Data!$AI$5:$AI$24,MATCH(D19,Data!$AA$5:$AA$24,0)),"FALSE")</f>
        <v>FALSE</v>
      </c>
      <c r="AG19" s="12" t="str">
        <f t="array" ref="AG19">IFERROR(INDEX(Data!$AJ$5:$AJ$24,MATCH(D19,Data!$AA$5:$AA$24,0)),"FALSE")</f>
        <v>FALSE</v>
      </c>
      <c r="AH19" s="12" t="str">
        <f t="array" ref="AH19">IFERROR(INDEX(Data!$AK$5:$AK$24,MATCH(D19,Data!$AA$5:$AA$24,0)),"FALSE")</f>
        <v>FALSE</v>
      </c>
      <c r="AI19" s="12" t="str">
        <f t="array" ref="AI19">IFERROR(INDEX(Data!$AL$5:$AL$24,MATCH(D19,Data!$AA$5:$AA$24,0)),"FALSE")</f>
        <v>FALSE</v>
      </c>
      <c r="AJ19" s="12" t="str">
        <f t="array" ref="AJ19">IFERROR(INDEX(Data!$AM$5:$AM$24,MATCH(D19,Data!$AA$5:$AA$24,0)),"FALSE")</f>
        <v>FALSE</v>
      </c>
      <c r="AK19" s="12" t="str">
        <f t="array" ref="AK19">IFERROR(INDEX(Data!$AN$5:$AN$24,MATCH(D19,Data!$AA$5:$AA$24,0)),"FALSE")</f>
        <v>FALSE</v>
      </c>
      <c r="AL19" s="12" t="str">
        <f t="array" ref="AL19">IFERROR(INDEX(Data!$AO$5:$AO$24,MATCH(D19,Data!$AA$5:$AA$24,0)),"FALSE")</f>
        <v>FALSE</v>
      </c>
    </row>
    <row r="20">
      <c r="A20" s="12"/>
      <c r="B20" s="12"/>
      <c r="C20" s="12"/>
      <c r="D20" s="12"/>
      <c r="E20" s="12"/>
      <c r="F20" s="12"/>
      <c r="G20" s="12"/>
      <c r="H20" s="12"/>
      <c r="I20" s="12"/>
      <c r="J20" s="12"/>
      <c r="K20" s="12"/>
      <c r="L20" s="12"/>
      <c r="M20" s="12"/>
      <c r="N20" s="12"/>
      <c r="O20" s="12"/>
      <c r="P20" s="12"/>
      <c r="Q20" s="12"/>
      <c r="R20" s="20" t="str">
        <f t="shared" si="2"/>
        <v/>
      </c>
      <c r="S20" s="22" t="str">
        <f t="array" ref="S20">IF(D20="","",IF(F20="None",0,IF(F20="Custom",L20,IF(F20="STR",Character!$J$11,IF(F20="DEX",Character!$J$12,IF(F20="Finesse",MAX(Character!$J$11,Character!$J$12),IF(F20="Auto",IF(AK20="TRUE",Character!$J$12,IF(AD20="TRUE",MAX(Character!$J$11,Character!$J$12),Character!$J$11)),0))))))+INT(Character!$H$5*IFERROR(INDEX(Data!$B$5:$B$8,MATCH(H20,Data!$A$5:$A$8,0)),0))+I20+J20)</f>
        <v/>
      </c>
      <c r="T20" s="20" t="str">
        <f t="shared" si="3"/>
        <v/>
      </c>
      <c r="U20" s="22" t="str">
        <f>IF(D20="","",IF(G20="None",0,IF(G20="Custom",M20,IF(G20="STR",Character!$J$11,IF(G20="DEX",Character!$J$12,IF(G20="Finesse",MAX(Character!$J$11,Character!$J$12),IF(G20="Auto",IF(AK20="TRUE",Character!$J$12,IF(AD20="TRUE",MAX(Character!$J$11,Character!$J$12),Character!$J$11)),0))))))+I20+K20)</f>
        <v/>
      </c>
      <c r="V20" s="20" t="str">
        <f t="shared" si="4"/>
        <v/>
      </c>
      <c r="W20" s="20" t="str">
        <f t="shared" ref="W20:X20" si="12">IF(O20&lt;&gt;"",O20,AB20)</f>
        <v/>
      </c>
      <c r="X20" s="20" t="str">
        <f t="shared" si="12"/>
        <v/>
      </c>
      <c r="Y20" s="20" t="str">
        <f t="shared" si="6"/>
        <v/>
      </c>
      <c r="Z20" s="12" t="str">
        <f t="array" ref="Z20">IFERROR(INDEX(Data!$AC$5:$AC$24,MATCH(D20,Data!$AA$5:$AA$24,0)),"")</f>
        <v/>
      </c>
      <c r="AA20" s="12" t="str">
        <f t="array" ref="AA20">IFERROR(INDEX(Data!$AF$5:$AF$24,MATCH(D20,Data!$AA$5:$AA$24,0)),"")</f>
        <v/>
      </c>
      <c r="AB20" s="12" t="str">
        <f t="array" ref="AB20">IFERROR(INDEX(Data!$AD$5:$AD$24,MATCH(D20,Data!$AA$5:$AA$24,0)),"")</f>
        <v/>
      </c>
      <c r="AC20" s="12" t="str">
        <f t="array" ref="AC20">IFERROR(INDEX(Data!$AE$5:$AE$24,MATCH(D20,Data!$AA$5:$AA$24,0)),"")</f>
        <v/>
      </c>
      <c r="AD20" s="12" t="str">
        <f t="array" ref="AD20">IFERROR(INDEX(Data!$AG$5:$AG$24,MATCH(D20,Data!$AA$5:$AA$24,0)),"FALSE")</f>
        <v>FALSE</v>
      </c>
      <c r="AE20" s="12" t="str">
        <f t="array" ref="AE20">IFERROR(INDEX(Data!$AH$5:$AH$24,MATCH(D20,Data!$AA$5:$AA$24,0)),"FALSE")</f>
        <v>FALSE</v>
      </c>
      <c r="AF20" s="12" t="str">
        <f t="array" ref="AF20">IFERROR(INDEX(Data!$AI$5:$AI$24,MATCH(D20,Data!$AA$5:$AA$24,0)),"FALSE")</f>
        <v>FALSE</v>
      </c>
      <c r="AG20" s="12" t="str">
        <f t="array" ref="AG20">IFERROR(INDEX(Data!$AJ$5:$AJ$24,MATCH(D20,Data!$AA$5:$AA$24,0)),"FALSE")</f>
        <v>FALSE</v>
      </c>
      <c r="AH20" s="12" t="str">
        <f t="array" ref="AH20">IFERROR(INDEX(Data!$AK$5:$AK$24,MATCH(D20,Data!$AA$5:$AA$24,0)),"FALSE")</f>
        <v>FALSE</v>
      </c>
      <c r="AI20" s="12" t="str">
        <f t="array" ref="AI20">IFERROR(INDEX(Data!$AL$5:$AL$24,MATCH(D20,Data!$AA$5:$AA$24,0)),"FALSE")</f>
        <v>FALSE</v>
      </c>
      <c r="AJ20" s="12" t="str">
        <f t="array" ref="AJ20">IFERROR(INDEX(Data!$AM$5:$AM$24,MATCH(D20,Data!$AA$5:$AA$24,0)),"FALSE")</f>
        <v>FALSE</v>
      </c>
      <c r="AK20" s="12" t="str">
        <f t="array" ref="AK20">IFERROR(INDEX(Data!$AN$5:$AN$24,MATCH(D20,Data!$AA$5:$AA$24,0)),"FALSE")</f>
        <v>FALSE</v>
      </c>
      <c r="AL20" s="12" t="str">
        <f t="array" ref="AL20">IFERROR(INDEX(Data!$AO$5:$AO$24,MATCH(D20,Data!$AA$5:$AA$24,0)),"FALSE")</f>
        <v>FALSE</v>
      </c>
    </row>
    <row r="21" ht="15.75" customHeight="1">
      <c r="A21" s="12"/>
      <c r="B21" s="12"/>
      <c r="C21" s="12"/>
      <c r="D21" s="12"/>
      <c r="E21" s="12"/>
      <c r="F21" s="12"/>
      <c r="G21" s="12"/>
      <c r="H21" s="12"/>
      <c r="I21" s="12"/>
      <c r="J21" s="12"/>
      <c r="K21" s="12"/>
      <c r="L21" s="12"/>
      <c r="M21" s="12"/>
      <c r="N21" s="12"/>
      <c r="O21" s="12"/>
      <c r="P21" s="12"/>
      <c r="Q21" s="12"/>
      <c r="R21" s="20" t="str">
        <f t="shared" si="2"/>
        <v/>
      </c>
      <c r="S21" s="22" t="str">
        <f t="array" ref="S21">IF(D21="","",IF(F21="None",0,IF(F21="Custom",L21,IF(F21="STR",Character!$J$11,IF(F21="DEX",Character!$J$12,IF(F21="Finesse",MAX(Character!$J$11,Character!$J$12),IF(F21="Auto",IF(AK21="TRUE",Character!$J$12,IF(AD21="TRUE",MAX(Character!$J$11,Character!$J$12),Character!$J$11)),0))))))+INT(Character!$H$5*IFERROR(INDEX(Data!$B$5:$B$8,MATCH(H21,Data!$A$5:$A$8,0)),0))+I21+J21)</f>
        <v/>
      </c>
      <c r="T21" s="20" t="str">
        <f t="shared" si="3"/>
        <v/>
      </c>
      <c r="U21" s="22" t="str">
        <f>IF(D21="","",IF(G21="None",0,IF(G21="Custom",M21,IF(G21="STR",Character!$J$11,IF(G21="DEX",Character!$J$12,IF(G21="Finesse",MAX(Character!$J$11,Character!$J$12),IF(G21="Auto",IF(AK21="TRUE",Character!$J$12,IF(AD21="TRUE",MAX(Character!$J$11,Character!$J$12),Character!$J$11)),0))))))+I21+K21)</f>
        <v/>
      </c>
      <c r="V21" s="20" t="str">
        <f t="shared" si="4"/>
        <v/>
      </c>
      <c r="W21" s="20" t="str">
        <f t="shared" ref="W21:X21" si="13">IF(O21&lt;&gt;"",O21,AB21)</f>
        <v/>
      </c>
      <c r="X21" s="20" t="str">
        <f t="shared" si="13"/>
        <v/>
      </c>
      <c r="Y21" s="20" t="str">
        <f t="shared" si="6"/>
        <v/>
      </c>
      <c r="Z21" s="12" t="str">
        <f t="array" ref="Z21">IFERROR(INDEX(Data!$AC$5:$AC$24,MATCH(D21,Data!$AA$5:$AA$24,0)),"")</f>
        <v/>
      </c>
      <c r="AA21" s="12" t="str">
        <f t="array" ref="AA21">IFERROR(INDEX(Data!$AF$5:$AF$24,MATCH(D21,Data!$AA$5:$AA$24,0)),"")</f>
        <v/>
      </c>
      <c r="AB21" s="12" t="str">
        <f t="array" ref="AB21">IFERROR(INDEX(Data!$AD$5:$AD$24,MATCH(D21,Data!$AA$5:$AA$24,0)),"")</f>
        <v/>
      </c>
      <c r="AC21" s="12" t="str">
        <f t="array" ref="AC21">IFERROR(INDEX(Data!$AE$5:$AE$24,MATCH(D21,Data!$AA$5:$AA$24,0)),"")</f>
        <v/>
      </c>
      <c r="AD21" s="12" t="str">
        <f t="array" ref="AD21">IFERROR(INDEX(Data!$AG$5:$AG$24,MATCH(D21,Data!$AA$5:$AA$24,0)),"FALSE")</f>
        <v>FALSE</v>
      </c>
      <c r="AE21" s="12" t="str">
        <f t="array" ref="AE21">IFERROR(INDEX(Data!$AH$5:$AH$24,MATCH(D21,Data!$AA$5:$AA$24,0)),"FALSE")</f>
        <v>FALSE</v>
      </c>
      <c r="AF21" s="12" t="str">
        <f t="array" ref="AF21">IFERROR(INDEX(Data!$AI$5:$AI$24,MATCH(D21,Data!$AA$5:$AA$24,0)),"FALSE")</f>
        <v>FALSE</v>
      </c>
      <c r="AG21" s="12" t="str">
        <f t="array" ref="AG21">IFERROR(INDEX(Data!$AJ$5:$AJ$24,MATCH(D21,Data!$AA$5:$AA$24,0)),"FALSE")</f>
        <v>FALSE</v>
      </c>
      <c r="AH21" s="12" t="str">
        <f t="array" ref="AH21">IFERROR(INDEX(Data!$AK$5:$AK$24,MATCH(D21,Data!$AA$5:$AA$24,0)),"FALSE")</f>
        <v>FALSE</v>
      </c>
      <c r="AI21" s="12" t="str">
        <f t="array" ref="AI21">IFERROR(INDEX(Data!$AL$5:$AL$24,MATCH(D21,Data!$AA$5:$AA$24,0)),"FALSE")</f>
        <v>FALSE</v>
      </c>
      <c r="AJ21" s="12" t="str">
        <f t="array" ref="AJ21">IFERROR(INDEX(Data!$AM$5:$AM$24,MATCH(D21,Data!$AA$5:$AA$24,0)),"FALSE")</f>
        <v>FALSE</v>
      </c>
      <c r="AK21" s="12" t="str">
        <f t="array" ref="AK21">IFERROR(INDEX(Data!$AN$5:$AN$24,MATCH(D21,Data!$AA$5:$AA$24,0)),"FALSE")</f>
        <v>FALSE</v>
      </c>
      <c r="AL21" s="12" t="str">
        <f t="array" ref="AL21">IFERROR(INDEX(Data!$AO$5:$AO$24,MATCH(D21,Data!$AA$5:$AA$24,0)),"FALSE")</f>
        <v>FALSE</v>
      </c>
    </row>
    <row r="22" ht="15.75" customHeight="1">
      <c r="A22" s="12"/>
      <c r="B22" s="12"/>
      <c r="C22" s="12"/>
      <c r="D22" s="12"/>
      <c r="E22" s="12"/>
      <c r="F22" s="12"/>
      <c r="G22" s="12"/>
      <c r="H22" s="12"/>
      <c r="I22" s="12"/>
      <c r="J22" s="12"/>
      <c r="K22" s="12"/>
      <c r="L22" s="12"/>
      <c r="M22" s="12"/>
      <c r="N22" s="12"/>
      <c r="O22" s="12"/>
      <c r="P22" s="12"/>
      <c r="Q22" s="12"/>
      <c r="R22" s="20" t="str">
        <f t="shared" si="2"/>
        <v/>
      </c>
      <c r="S22" s="22" t="str">
        <f t="array" ref="S22">IF(D22="","",IF(F22="None",0,IF(F22="Custom",L22,IF(F22="STR",Character!$J$11,IF(F22="DEX",Character!$J$12,IF(F22="Finesse",MAX(Character!$J$11,Character!$J$12),IF(F22="Auto",IF(AK22="TRUE",Character!$J$12,IF(AD22="TRUE",MAX(Character!$J$11,Character!$J$12),Character!$J$11)),0))))))+INT(Character!$H$5*IFERROR(INDEX(Data!$B$5:$B$8,MATCH(H22,Data!$A$5:$A$8,0)),0))+I22+J22)</f>
        <v/>
      </c>
      <c r="T22" s="20" t="str">
        <f t="shared" si="3"/>
        <v/>
      </c>
      <c r="U22" s="22" t="str">
        <f>IF(D22="","",IF(G22="None",0,IF(G22="Custom",M22,IF(G22="STR",Character!$J$11,IF(G22="DEX",Character!$J$12,IF(G22="Finesse",MAX(Character!$J$11,Character!$J$12),IF(G22="Auto",IF(AK22="TRUE",Character!$J$12,IF(AD22="TRUE",MAX(Character!$J$11,Character!$J$12),Character!$J$11)),0))))))+I22+K22)</f>
        <v/>
      </c>
      <c r="V22" s="20" t="str">
        <f t="shared" si="4"/>
        <v/>
      </c>
      <c r="W22" s="20" t="str">
        <f t="shared" ref="W22:X22" si="14">IF(O22&lt;&gt;"",O22,AB22)</f>
        <v/>
      </c>
      <c r="X22" s="20" t="str">
        <f t="shared" si="14"/>
        <v/>
      </c>
      <c r="Y22" s="20" t="str">
        <f t="shared" si="6"/>
        <v/>
      </c>
      <c r="Z22" s="12" t="str">
        <f t="array" ref="Z22">IFERROR(INDEX(Data!$AC$5:$AC$24,MATCH(D22,Data!$AA$5:$AA$24,0)),"")</f>
        <v/>
      </c>
      <c r="AA22" s="12" t="str">
        <f t="array" ref="AA22">IFERROR(INDEX(Data!$AF$5:$AF$24,MATCH(D22,Data!$AA$5:$AA$24,0)),"")</f>
        <v/>
      </c>
      <c r="AB22" s="12" t="str">
        <f t="array" ref="AB22">IFERROR(INDEX(Data!$AD$5:$AD$24,MATCH(D22,Data!$AA$5:$AA$24,0)),"")</f>
        <v/>
      </c>
      <c r="AC22" s="12" t="str">
        <f t="array" ref="AC22">IFERROR(INDEX(Data!$AE$5:$AE$24,MATCH(D22,Data!$AA$5:$AA$24,0)),"")</f>
        <v/>
      </c>
      <c r="AD22" s="12" t="str">
        <f t="array" ref="AD22">IFERROR(INDEX(Data!$AG$5:$AG$24,MATCH(D22,Data!$AA$5:$AA$24,0)),"FALSE")</f>
        <v>FALSE</v>
      </c>
      <c r="AE22" s="12" t="str">
        <f t="array" ref="AE22">IFERROR(INDEX(Data!$AH$5:$AH$24,MATCH(D22,Data!$AA$5:$AA$24,0)),"FALSE")</f>
        <v>FALSE</v>
      </c>
      <c r="AF22" s="12" t="str">
        <f t="array" ref="AF22">IFERROR(INDEX(Data!$AI$5:$AI$24,MATCH(D22,Data!$AA$5:$AA$24,0)),"FALSE")</f>
        <v>FALSE</v>
      </c>
      <c r="AG22" s="12" t="str">
        <f t="array" ref="AG22">IFERROR(INDEX(Data!$AJ$5:$AJ$24,MATCH(D22,Data!$AA$5:$AA$24,0)),"FALSE")</f>
        <v>FALSE</v>
      </c>
      <c r="AH22" s="12" t="str">
        <f t="array" ref="AH22">IFERROR(INDEX(Data!$AK$5:$AK$24,MATCH(D22,Data!$AA$5:$AA$24,0)),"FALSE")</f>
        <v>FALSE</v>
      </c>
      <c r="AI22" s="12" t="str">
        <f t="array" ref="AI22">IFERROR(INDEX(Data!$AL$5:$AL$24,MATCH(D22,Data!$AA$5:$AA$24,0)),"FALSE")</f>
        <v>FALSE</v>
      </c>
      <c r="AJ22" s="12" t="str">
        <f t="array" ref="AJ22">IFERROR(INDEX(Data!$AM$5:$AM$24,MATCH(D22,Data!$AA$5:$AA$24,0)),"FALSE")</f>
        <v>FALSE</v>
      </c>
      <c r="AK22" s="12" t="str">
        <f t="array" ref="AK22">IFERROR(INDEX(Data!$AN$5:$AN$24,MATCH(D22,Data!$AA$5:$AA$24,0)),"FALSE")</f>
        <v>FALSE</v>
      </c>
      <c r="AL22" s="12" t="str">
        <f t="array" ref="AL22">IFERROR(INDEX(Data!$AO$5:$AO$24,MATCH(D22,Data!$AA$5:$AA$24,0)),"FALSE")</f>
        <v>FALSE</v>
      </c>
    </row>
    <row r="23" ht="15.75" customHeight="1">
      <c r="A23" s="12"/>
      <c r="B23" s="12"/>
      <c r="C23" s="12"/>
      <c r="D23" s="12"/>
      <c r="E23" s="12"/>
      <c r="F23" s="12"/>
      <c r="G23" s="12"/>
      <c r="H23" s="12"/>
      <c r="I23" s="12"/>
      <c r="J23" s="12"/>
      <c r="K23" s="12"/>
      <c r="L23" s="12"/>
      <c r="M23" s="12"/>
      <c r="N23" s="12"/>
      <c r="O23" s="12"/>
      <c r="P23" s="12"/>
      <c r="Q23" s="12"/>
      <c r="R23" s="20" t="str">
        <f t="shared" si="2"/>
        <v/>
      </c>
      <c r="S23" s="22" t="str">
        <f t="array" ref="S23">IF(D23="","",IF(F23="None",0,IF(F23="Custom",L23,IF(F23="STR",Character!$J$11,IF(F23="DEX",Character!$J$12,IF(F23="Finesse",MAX(Character!$J$11,Character!$J$12),IF(F23="Auto",IF(AK23="TRUE",Character!$J$12,IF(AD23="TRUE",MAX(Character!$J$11,Character!$J$12),Character!$J$11)),0))))))+INT(Character!$H$5*IFERROR(INDEX(Data!$B$5:$B$8,MATCH(H23,Data!$A$5:$A$8,0)),0))+I23+J23)</f>
        <v/>
      </c>
      <c r="T23" s="20" t="str">
        <f t="shared" si="3"/>
        <v/>
      </c>
      <c r="U23" s="22" t="str">
        <f>IF(D23="","",IF(G23="None",0,IF(G23="Custom",M23,IF(G23="STR",Character!$J$11,IF(G23="DEX",Character!$J$12,IF(G23="Finesse",MAX(Character!$J$11,Character!$J$12),IF(G23="Auto",IF(AK23="TRUE",Character!$J$12,IF(AD23="TRUE",MAX(Character!$J$11,Character!$J$12),Character!$J$11)),0))))))+I23+K23)</f>
        <v/>
      </c>
      <c r="V23" s="20" t="str">
        <f t="shared" si="4"/>
        <v/>
      </c>
      <c r="W23" s="20" t="str">
        <f t="shared" ref="W23:X23" si="15">IF(O23&lt;&gt;"",O23,AB23)</f>
        <v/>
      </c>
      <c r="X23" s="20" t="str">
        <f t="shared" si="15"/>
        <v/>
      </c>
      <c r="Y23" s="20" t="str">
        <f t="shared" si="6"/>
        <v/>
      </c>
      <c r="Z23" s="12" t="str">
        <f t="array" ref="Z23">IFERROR(INDEX(Data!$AC$5:$AC$24,MATCH(D23,Data!$AA$5:$AA$24,0)),"")</f>
        <v/>
      </c>
      <c r="AA23" s="12" t="str">
        <f t="array" ref="AA23">IFERROR(INDEX(Data!$AF$5:$AF$24,MATCH(D23,Data!$AA$5:$AA$24,0)),"")</f>
        <v/>
      </c>
      <c r="AB23" s="12" t="str">
        <f t="array" ref="AB23">IFERROR(INDEX(Data!$AD$5:$AD$24,MATCH(D23,Data!$AA$5:$AA$24,0)),"")</f>
        <v/>
      </c>
      <c r="AC23" s="12" t="str">
        <f t="array" ref="AC23">IFERROR(INDEX(Data!$AE$5:$AE$24,MATCH(D23,Data!$AA$5:$AA$24,0)),"")</f>
        <v/>
      </c>
      <c r="AD23" s="12" t="str">
        <f t="array" ref="AD23">IFERROR(INDEX(Data!$AG$5:$AG$24,MATCH(D23,Data!$AA$5:$AA$24,0)),"FALSE")</f>
        <v>FALSE</v>
      </c>
      <c r="AE23" s="12" t="str">
        <f t="array" ref="AE23">IFERROR(INDEX(Data!$AH$5:$AH$24,MATCH(D23,Data!$AA$5:$AA$24,0)),"FALSE")</f>
        <v>FALSE</v>
      </c>
      <c r="AF23" s="12" t="str">
        <f t="array" ref="AF23">IFERROR(INDEX(Data!$AI$5:$AI$24,MATCH(D23,Data!$AA$5:$AA$24,0)),"FALSE")</f>
        <v>FALSE</v>
      </c>
      <c r="AG23" s="12" t="str">
        <f t="array" ref="AG23">IFERROR(INDEX(Data!$AJ$5:$AJ$24,MATCH(D23,Data!$AA$5:$AA$24,0)),"FALSE")</f>
        <v>FALSE</v>
      </c>
      <c r="AH23" s="12" t="str">
        <f t="array" ref="AH23">IFERROR(INDEX(Data!$AK$5:$AK$24,MATCH(D23,Data!$AA$5:$AA$24,0)),"FALSE")</f>
        <v>FALSE</v>
      </c>
      <c r="AI23" s="12" t="str">
        <f t="array" ref="AI23">IFERROR(INDEX(Data!$AL$5:$AL$24,MATCH(D23,Data!$AA$5:$AA$24,0)),"FALSE")</f>
        <v>FALSE</v>
      </c>
      <c r="AJ23" s="12" t="str">
        <f t="array" ref="AJ23">IFERROR(INDEX(Data!$AM$5:$AM$24,MATCH(D23,Data!$AA$5:$AA$24,0)),"FALSE")</f>
        <v>FALSE</v>
      </c>
      <c r="AK23" s="12" t="str">
        <f t="array" ref="AK23">IFERROR(INDEX(Data!$AN$5:$AN$24,MATCH(D23,Data!$AA$5:$AA$24,0)),"FALSE")</f>
        <v>FALSE</v>
      </c>
      <c r="AL23" s="12" t="str">
        <f t="array" ref="AL23">IFERROR(INDEX(Data!$AO$5:$AO$24,MATCH(D23,Data!$AA$5:$AA$24,0)),"FALSE")</f>
        <v>FALSE</v>
      </c>
    </row>
    <row r="24" ht="15.75" customHeight="1">
      <c r="A24" s="12"/>
      <c r="B24" s="12"/>
      <c r="C24" s="12"/>
      <c r="D24" s="12"/>
      <c r="E24" s="12"/>
      <c r="F24" s="12"/>
      <c r="G24" s="12"/>
      <c r="H24" s="12"/>
      <c r="I24" s="12"/>
      <c r="J24" s="12"/>
      <c r="K24" s="12"/>
      <c r="L24" s="12"/>
      <c r="M24" s="12"/>
      <c r="N24" s="12"/>
      <c r="O24" s="12"/>
      <c r="P24" s="12"/>
      <c r="Q24" s="12"/>
      <c r="R24" s="20" t="str">
        <f t="shared" si="2"/>
        <v/>
      </c>
      <c r="S24" s="22" t="str">
        <f t="array" ref="S24">IF(D24="","",IF(F24="None",0,IF(F24="Custom",L24,IF(F24="STR",Character!$J$11,IF(F24="DEX",Character!$J$12,IF(F24="Finesse",MAX(Character!$J$11,Character!$J$12),IF(F24="Auto",IF(AK24="TRUE",Character!$J$12,IF(AD24="TRUE",MAX(Character!$J$11,Character!$J$12),Character!$J$11)),0))))))+INT(Character!$H$5*IFERROR(INDEX(Data!$B$5:$B$8,MATCH(H24,Data!$A$5:$A$8,0)),0))+I24+J24)</f>
        <v/>
      </c>
      <c r="T24" s="20" t="str">
        <f t="shared" si="3"/>
        <v/>
      </c>
      <c r="U24" s="22" t="str">
        <f>IF(D24="","",IF(G24="None",0,IF(G24="Custom",M24,IF(G24="STR",Character!$J$11,IF(G24="DEX",Character!$J$12,IF(G24="Finesse",MAX(Character!$J$11,Character!$J$12),IF(G24="Auto",IF(AK24="TRUE",Character!$J$12,IF(AD24="TRUE",MAX(Character!$J$11,Character!$J$12),Character!$J$11)),0))))))+I24+K24)</f>
        <v/>
      </c>
      <c r="V24" s="20" t="str">
        <f t="shared" si="4"/>
        <v/>
      </c>
      <c r="W24" s="20" t="str">
        <f t="shared" ref="W24:X24" si="16">IF(O24&lt;&gt;"",O24,AB24)</f>
        <v/>
      </c>
      <c r="X24" s="20" t="str">
        <f t="shared" si="16"/>
        <v/>
      </c>
      <c r="Y24" s="20" t="str">
        <f t="shared" si="6"/>
        <v/>
      </c>
      <c r="Z24" s="12" t="str">
        <f t="array" ref="Z24">IFERROR(INDEX(Data!$AC$5:$AC$24,MATCH(D24,Data!$AA$5:$AA$24,0)),"")</f>
        <v/>
      </c>
      <c r="AA24" s="12" t="str">
        <f t="array" ref="AA24">IFERROR(INDEX(Data!$AF$5:$AF$24,MATCH(D24,Data!$AA$5:$AA$24,0)),"")</f>
        <v/>
      </c>
      <c r="AB24" s="12" t="str">
        <f t="array" ref="AB24">IFERROR(INDEX(Data!$AD$5:$AD$24,MATCH(D24,Data!$AA$5:$AA$24,0)),"")</f>
        <v/>
      </c>
      <c r="AC24" s="12" t="str">
        <f t="array" ref="AC24">IFERROR(INDEX(Data!$AE$5:$AE$24,MATCH(D24,Data!$AA$5:$AA$24,0)),"")</f>
        <v/>
      </c>
      <c r="AD24" s="12" t="str">
        <f t="array" ref="AD24">IFERROR(INDEX(Data!$AG$5:$AG$24,MATCH(D24,Data!$AA$5:$AA$24,0)),"FALSE")</f>
        <v>FALSE</v>
      </c>
      <c r="AE24" s="12" t="str">
        <f t="array" ref="AE24">IFERROR(INDEX(Data!$AH$5:$AH$24,MATCH(D24,Data!$AA$5:$AA$24,0)),"FALSE")</f>
        <v>FALSE</v>
      </c>
      <c r="AF24" s="12" t="str">
        <f t="array" ref="AF24">IFERROR(INDEX(Data!$AI$5:$AI$24,MATCH(D24,Data!$AA$5:$AA$24,0)),"FALSE")</f>
        <v>FALSE</v>
      </c>
      <c r="AG24" s="12" t="str">
        <f t="array" ref="AG24">IFERROR(INDEX(Data!$AJ$5:$AJ$24,MATCH(D24,Data!$AA$5:$AA$24,0)),"FALSE")</f>
        <v>FALSE</v>
      </c>
      <c r="AH24" s="12" t="str">
        <f t="array" ref="AH24">IFERROR(INDEX(Data!$AK$5:$AK$24,MATCH(D24,Data!$AA$5:$AA$24,0)),"FALSE")</f>
        <v>FALSE</v>
      </c>
      <c r="AI24" s="12" t="str">
        <f t="array" ref="AI24">IFERROR(INDEX(Data!$AL$5:$AL$24,MATCH(D24,Data!$AA$5:$AA$24,0)),"FALSE")</f>
        <v>FALSE</v>
      </c>
      <c r="AJ24" s="12" t="str">
        <f t="array" ref="AJ24">IFERROR(INDEX(Data!$AM$5:$AM$24,MATCH(D24,Data!$AA$5:$AA$24,0)),"FALSE")</f>
        <v>FALSE</v>
      </c>
      <c r="AK24" s="12" t="str">
        <f t="array" ref="AK24">IFERROR(INDEX(Data!$AN$5:$AN$24,MATCH(D24,Data!$AA$5:$AA$24,0)),"FALSE")</f>
        <v>FALSE</v>
      </c>
      <c r="AL24" s="12" t="str">
        <f t="array" ref="AL24">IFERROR(INDEX(Data!$AO$5:$AO$24,MATCH(D24,Data!$AA$5:$AA$24,0)),"FALSE")</f>
        <v>FALSE</v>
      </c>
    </row>
    <row r="25" ht="15.75" customHeight="1">
      <c r="A25" s="12"/>
      <c r="B25" s="12"/>
      <c r="C25" s="12"/>
      <c r="D25" s="12"/>
      <c r="E25" s="12"/>
      <c r="F25" s="12"/>
      <c r="G25" s="12"/>
      <c r="H25" s="12"/>
      <c r="I25" s="12"/>
      <c r="J25" s="12"/>
      <c r="K25" s="12"/>
      <c r="L25" s="12"/>
      <c r="M25" s="12"/>
      <c r="N25" s="12"/>
      <c r="O25" s="12"/>
      <c r="P25" s="12"/>
      <c r="Q25" s="12"/>
      <c r="R25" s="20" t="str">
        <f t="shared" si="2"/>
        <v/>
      </c>
      <c r="S25" s="22" t="str">
        <f t="array" ref="S25">IF(D25="","",IF(F25="None",0,IF(F25="Custom",L25,IF(F25="STR",Character!$J$11,IF(F25="DEX",Character!$J$12,IF(F25="Finesse",MAX(Character!$J$11,Character!$J$12),IF(F25="Auto",IF(AK25="TRUE",Character!$J$12,IF(AD25="TRUE",MAX(Character!$J$11,Character!$J$12),Character!$J$11)),0))))))+INT(Character!$H$5*IFERROR(INDEX(Data!$B$5:$B$8,MATCH(H25,Data!$A$5:$A$8,0)),0))+I25+J25)</f>
        <v/>
      </c>
      <c r="T25" s="20" t="str">
        <f t="shared" si="3"/>
        <v/>
      </c>
      <c r="U25" s="22" t="str">
        <f>IF(D25="","",IF(G25="None",0,IF(G25="Custom",M25,IF(G25="STR",Character!$J$11,IF(G25="DEX",Character!$J$12,IF(G25="Finesse",MAX(Character!$J$11,Character!$J$12),IF(G25="Auto",IF(AK25="TRUE",Character!$J$12,IF(AD25="TRUE",MAX(Character!$J$11,Character!$J$12),Character!$J$11)),0))))))+I25+K25)</f>
        <v/>
      </c>
      <c r="V25" s="20" t="str">
        <f t="shared" si="4"/>
        <v/>
      </c>
      <c r="W25" s="20" t="str">
        <f t="shared" ref="W25:X25" si="17">IF(O25&lt;&gt;"",O25,AB25)</f>
        <v/>
      </c>
      <c r="X25" s="20" t="str">
        <f t="shared" si="17"/>
        <v/>
      </c>
      <c r="Y25" s="20" t="str">
        <f t="shared" si="6"/>
        <v/>
      </c>
      <c r="Z25" s="12" t="str">
        <f t="array" ref="Z25">IFERROR(INDEX(Data!$AC$5:$AC$24,MATCH(D25,Data!$AA$5:$AA$24,0)),"")</f>
        <v/>
      </c>
      <c r="AA25" s="12" t="str">
        <f t="array" ref="AA25">IFERROR(INDEX(Data!$AF$5:$AF$24,MATCH(D25,Data!$AA$5:$AA$24,0)),"")</f>
        <v/>
      </c>
      <c r="AB25" s="12" t="str">
        <f t="array" ref="AB25">IFERROR(INDEX(Data!$AD$5:$AD$24,MATCH(D25,Data!$AA$5:$AA$24,0)),"")</f>
        <v/>
      </c>
      <c r="AC25" s="12" t="str">
        <f t="array" ref="AC25">IFERROR(INDEX(Data!$AE$5:$AE$24,MATCH(D25,Data!$AA$5:$AA$24,0)),"")</f>
        <v/>
      </c>
      <c r="AD25" s="12" t="str">
        <f t="array" ref="AD25">IFERROR(INDEX(Data!$AG$5:$AG$24,MATCH(D25,Data!$AA$5:$AA$24,0)),"FALSE")</f>
        <v>FALSE</v>
      </c>
      <c r="AE25" s="12" t="str">
        <f t="array" ref="AE25">IFERROR(INDEX(Data!$AH$5:$AH$24,MATCH(D25,Data!$AA$5:$AA$24,0)),"FALSE")</f>
        <v>FALSE</v>
      </c>
      <c r="AF25" s="12" t="str">
        <f t="array" ref="AF25">IFERROR(INDEX(Data!$AI$5:$AI$24,MATCH(D25,Data!$AA$5:$AA$24,0)),"FALSE")</f>
        <v>FALSE</v>
      </c>
      <c r="AG25" s="12" t="str">
        <f t="array" ref="AG25">IFERROR(INDEX(Data!$AJ$5:$AJ$24,MATCH(D25,Data!$AA$5:$AA$24,0)),"FALSE")</f>
        <v>FALSE</v>
      </c>
      <c r="AH25" s="12" t="str">
        <f t="array" ref="AH25">IFERROR(INDEX(Data!$AK$5:$AK$24,MATCH(D25,Data!$AA$5:$AA$24,0)),"FALSE")</f>
        <v>FALSE</v>
      </c>
      <c r="AI25" s="12" t="str">
        <f t="array" ref="AI25">IFERROR(INDEX(Data!$AL$5:$AL$24,MATCH(D25,Data!$AA$5:$AA$24,0)),"FALSE")</f>
        <v>FALSE</v>
      </c>
      <c r="AJ25" s="12" t="str">
        <f t="array" ref="AJ25">IFERROR(INDEX(Data!$AM$5:$AM$24,MATCH(D25,Data!$AA$5:$AA$24,0)),"FALSE")</f>
        <v>FALSE</v>
      </c>
      <c r="AK25" s="12" t="str">
        <f t="array" ref="AK25">IFERROR(INDEX(Data!$AN$5:$AN$24,MATCH(D25,Data!$AA$5:$AA$24,0)),"FALSE")</f>
        <v>FALSE</v>
      </c>
      <c r="AL25" s="12" t="str">
        <f t="array" ref="AL25">IFERROR(INDEX(Data!$AO$5:$AO$24,MATCH(D25,Data!$AA$5:$AA$24,0)),"FALSE")</f>
        <v>FALSE</v>
      </c>
    </row>
    <row r="26" ht="15.75" customHeight="1">
      <c r="A26" s="12"/>
      <c r="B26" s="12"/>
      <c r="C26" s="12"/>
      <c r="D26" s="12"/>
      <c r="E26" s="12"/>
      <c r="F26" s="12"/>
      <c r="G26" s="12"/>
      <c r="H26" s="12"/>
      <c r="I26" s="12"/>
      <c r="J26" s="12"/>
      <c r="K26" s="12"/>
      <c r="L26" s="12"/>
      <c r="M26" s="12"/>
      <c r="N26" s="12"/>
      <c r="O26" s="12"/>
      <c r="P26" s="12"/>
      <c r="Q26" s="12"/>
      <c r="R26" s="20" t="str">
        <f t="shared" si="2"/>
        <v/>
      </c>
      <c r="S26" s="22" t="str">
        <f t="array" ref="S26">IF(D26="","",IF(F26="None",0,IF(F26="Custom",L26,IF(F26="STR",Character!$J$11,IF(F26="DEX",Character!$J$12,IF(F26="Finesse",MAX(Character!$J$11,Character!$J$12),IF(F26="Auto",IF(AK26="TRUE",Character!$J$12,IF(AD26="TRUE",MAX(Character!$J$11,Character!$J$12),Character!$J$11)),0))))))+INT(Character!$H$5*IFERROR(INDEX(Data!$B$5:$B$8,MATCH(H26,Data!$A$5:$A$8,0)),0))+I26+J26)</f>
        <v/>
      </c>
      <c r="T26" s="20" t="str">
        <f t="shared" si="3"/>
        <v/>
      </c>
      <c r="U26" s="22" t="str">
        <f>IF(D26="","",IF(G26="None",0,IF(G26="Custom",M26,IF(G26="STR",Character!$J$11,IF(G26="DEX",Character!$J$12,IF(G26="Finesse",MAX(Character!$J$11,Character!$J$12),IF(G26="Auto",IF(AK26="TRUE",Character!$J$12,IF(AD26="TRUE",MAX(Character!$J$11,Character!$J$12),Character!$J$11)),0))))))+I26+K26)</f>
        <v/>
      </c>
      <c r="V26" s="20" t="str">
        <f t="shared" si="4"/>
        <v/>
      </c>
      <c r="W26" s="20" t="str">
        <f t="shared" ref="W26:X26" si="18">IF(O26&lt;&gt;"",O26,AB26)</f>
        <v/>
      </c>
      <c r="X26" s="20" t="str">
        <f t="shared" si="18"/>
        <v/>
      </c>
      <c r="Y26" s="20" t="str">
        <f t="shared" si="6"/>
        <v/>
      </c>
      <c r="Z26" s="12" t="str">
        <f t="array" ref="Z26">IFERROR(INDEX(Data!$AC$5:$AC$24,MATCH(D26,Data!$AA$5:$AA$24,0)),"")</f>
        <v/>
      </c>
      <c r="AA26" s="12" t="str">
        <f t="array" ref="AA26">IFERROR(INDEX(Data!$AF$5:$AF$24,MATCH(D26,Data!$AA$5:$AA$24,0)),"")</f>
        <v/>
      </c>
      <c r="AB26" s="12" t="str">
        <f t="array" ref="AB26">IFERROR(INDEX(Data!$AD$5:$AD$24,MATCH(D26,Data!$AA$5:$AA$24,0)),"")</f>
        <v/>
      </c>
      <c r="AC26" s="12" t="str">
        <f t="array" ref="AC26">IFERROR(INDEX(Data!$AE$5:$AE$24,MATCH(D26,Data!$AA$5:$AA$24,0)),"")</f>
        <v/>
      </c>
      <c r="AD26" s="12" t="str">
        <f t="array" ref="AD26">IFERROR(INDEX(Data!$AG$5:$AG$24,MATCH(D26,Data!$AA$5:$AA$24,0)),"FALSE")</f>
        <v>FALSE</v>
      </c>
      <c r="AE26" s="12" t="str">
        <f t="array" ref="AE26">IFERROR(INDEX(Data!$AH$5:$AH$24,MATCH(D26,Data!$AA$5:$AA$24,0)),"FALSE")</f>
        <v>FALSE</v>
      </c>
      <c r="AF26" s="12" t="str">
        <f t="array" ref="AF26">IFERROR(INDEX(Data!$AI$5:$AI$24,MATCH(D26,Data!$AA$5:$AA$24,0)),"FALSE")</f>
        <v>FALSE</v>
      </c>
      <c r="AG26" s="12" t="str">
        <f t="array" ref="AG26">IFERROR(INDEX(Data!$AJ$5:$AJ$24,MATCH(D26,Data!$AA$5:$AA$24,0)),"FALSE")</f>
        <v>FALSE</v>
      </c>
      <c r="AH26" s="12" t="str">
        <f t="array" ref="AH26">IFERROR(INDEX(Data!$AK$5:$AK$24,MATCH(D26,Data!$AA$5:$AA$24,0)),"FALSE")</f>
        <v>FALSE</v>
      </c>
      <c r="AI26" s="12" t="str">
        <f t="array" ref="AI26">IFERROR(INDEX(Data!$AL$5:$AL$24,MATCH(D26,Data!$AA$5:$AA$24,0)),"FALSE")</f>
        <v>FALSE</v>
      </c>
      <c r="AJ26" s="12" t="str">
        <f t="array" ref="AJ26">IFERROR(INDEX(Data!$AM$5:$AM$24,MATCH(D26,Data!$AA$5:$AA$24,0)),"FALSE")</f>
        <v>FALSE</v>
      </c>
      <c r="AK26" s="12" t="str">
        <f t="array" ref="AK26">IFERROR(INDEX(Data!$AN$5:$AN$24,MATCH(D26,Data!$AA$5:$AA$24,0)),"FALSE")</f>
        <v>FALSE</v>
      </c>
      <c r="AL26" s="12" t="str">
        <f t="array" ref="AL26">IFERROR(INDEX(Data!$AO$5:$AO$24,MATCH(D26,Data!$AA$5:$AA$24,0)),"FALSE")</f>
        <v>FALSE</v>
      </c>
    </row>
    <row r="27" ht="15.75" customHeight="1">
      <c r="A27" s="12"/>
      <c r="B27" s="12"/>
      <c r="C27" s="12"/>
      <c r="D27" s="12"/>
      <c r="E27" s="12"/>
      <c r="F27" s="12"/>
      <c r="G27" s="12"/>
      <c r="H27" s="12"/>
      <c r="I27" s="12"/>
      <c r="J27" s="12"/>
      <c r="K27" s="12"/>
      <c r="L27" s="12"/>
      <c r="M27" s="12"/>
      <c r="N27" s="12"/>
      <c r="O27" s="12"/>
      <c r="P27" s="12"/>
      <c r="Q27" s="12"/>
      <c r="R27" s="20" t="str">
        <f t="shared" si="2"/>
        <v/>
      </c>
      <c r="S27" s="22" t="str">
        <f t="array" ref="S27">IF(D27="","",IF(F27="None",0,IF(F27="Custom",L27,IF(F27="STR",Character!$J$11,IF(F27="DEX",Character!$J$12,IF(F27="Finesse",MAX(Character!$J$11,Character!$J$12),IF(F27="Auto",IF(AK27="TRUE",Character!$J$12,IF(AD27="TRUE",MAX(Character!$J$11,Character!$J$12),Character!$J$11)),0))))))+INT(Character!$H$5*IFERROR(INDEX(Data!$B$5:$B$8,MATCH(H27,Data!$A$5:$A$8,0)),0))+I27+J27)</f>
        <v/>
      </c>
      <c r="T27" s="20" t="str">
        <f t="shared" si="3"/>
        <v/>
      </c>
      <c r="U27" s="22" t="str">
        <f>IF(D27="","",IF(G27="None",0,IF(G27="Custom",M27,IF(G27="STR",Character!$J$11,IF(G27="DEX",Character!$J$12,IF(G27="Finesse",MAX(Character!$J$11,Character!$J$12),IF(G27="Auto",IF(AK27="TRUE",Character!$J$12,IF(AD27="TRUE",MAX(Character!$J$11,Character!$J$12),Character!$J$11)),0))))))+I27+K27)</f>
        <v/>
      </c>
      <c r="V27" s="20" t="str">
        <f t="shared" si="4"/>
        <v/>
      </c>
      <c r="W27" s="20" t="str">
        <f t="shared" ref="W27:X27" si="19">IF(O27&lt;&gt;"",O27,AB27)</f>
        <v/>
      </c>
      <c r="X27" s="20" t="str">
        <f t="shared" si="19"/>
        <v/>
      </c>
      <c r="Y27" s="20" t="str">
        <f t="shared" si="6"/>
        <v/>
      </c>
      <c r="Z27" s="12" t="str">
        <f t="array" ref="Z27">IFERROR(INDEX(Data!$AC$5:$AC$24,MATCH(D27,Data!$AA$5:$AA$24,0)),"")</f>
        <v/>
      </c>
      <c r="AA27" s="12" t="str">
        <f t="array" ref="AA27">IFERROR(INDEX(Data!$AF$5:$AF$24,MATCH(D27,Data!$AA$5:$AA$24,0)),"")</f>
        <v/>
      </c>
      <c r="AB27" s="12" t="str">
        <f t="array" ref="AB27">IFERROR(INDEX(Data!$AD$5:$AD$24,MATCH(D27,Data!$AA$5:$AA$24,0)),"")</f>
        <v/>
      </c>
      <c r="AC27" s="12" t="str">
        <f t="array" ref="AC27">IFERROR(INDEX(Data!$AE$5:$AE$24,MATCH(D27,Data!$AA$5:$AA$24,0)),"")</f>
        <v/>
      </c>
      <c r="AD27" s="12" t="str">
        <f t="array" ref="AD27">IFERROR(INDEX(Data!$AG$5:$AG$24,MATCH(D27,Data!$AA$5:$AA$24,0)),"FALSE")</f>
        <v>FALSE</v>
      </c>
      <c r="AE27" s="12" t="str">
        <f t="array" ref="AE27">IFERROR(INDEX(Data!$AH$5:$AH$24,MATCH(D27,Data!$AA$5:$AA$24,0)),"FALSE")</f>
        <v>FALSE</v>
      </c>
      <c r="AF27" s="12" t="str">
        <f t="array" ref="AF27">IFERROR(INDEX(Data!$AI$5:$AI$24,MATCH(D27,Data!$AA$5:$AA$24,0)),"FALSE")</f>
        <v>FALSE</v>
      </c>
      <c r="AG27" s="12" t="str">
        <f t="array" ref="AG27">IFERROR(INDEX(Data!$AJ$5:$AJ$24,MATCH(D27,Data!$AA$5:$AA$24,0)),"FALSE")</f>
        <v>FALSE</v>
      </c>
      <c r="AH27" s="12" t="str">
        <f t="array" ref="AH27">IFERROR(INDEX(Data!$AK$5:$AK$24,MATCH(D27,Data!$AA$5:$AA$24,0)),"FALSE")</f>
        <v>FALSE</v>
      </c>
      <c r="AI27" s="12" t="str">
        <f t="array" ref="AI27">IFERROR(INDEX(Data!$AL$5:$AL$24,MATCH(D27,Data!$AA$5:$AA$24,0)),"FALSE")</f>
        <v>FALSE</v>
      </c>
      <c r="AJ27" s="12" t="str">
        <f t="array" ref="AJ27">IFERROR(INDEX(Data!$AM$5:$AM$24,MATCH(D27,Data!$AA$5:$AA$24,0)),"FALSE")</f>
        <v>FALSE</v>
      </c>
      <c r="AK27" s="12" t="str">
        <f t="array" ref="AK27">IFERROR(INDEX(Data!$AN$5:$AN$24,MATCH(D27,Data!$AA$5:$AA$24,0)),"FALSE")</f>
        <v>FALSE</v>
      </c>
      <c r="AL27" s="12" t="str">
        <f t="array" ref="AL27">IFERROR(INDEX(Data!$AO$5:$AO$24,MATCH(D27,Data!$AA$5:$AA$24,0)),"FALSE")</f>
        <v>FALSE</v>
      </c>
    </row>
    <row r="28" ht="15.75" customHeight="1">
      <c r="A28" s="12"/>
      <c r="B28" s="12"/>
      <c r="C28" s="12"/>
      <c r="D28" s="12"/>
      <c r="E28" s="12"/>
      <c r="F28" s="12"/>
      <c r="G28" s="12"/>
      <c r="H28" s="12"/>
      <c r="I28" s="12"/>
      <c r="J28" s="12"/>
      <c r="K28" s="12"/>
      <c r="L28" s="12"/>
      <c r="M28" s="12"/>
      <c r="N28" s="12"/>
      <c r="O28" s="12"/>
      <c r="P28" s="12"/>
      <c r="Q28" s="12"/>
      <c r="R28" s="20" t="str">
        <f t="shared" si="2"/>
        <v/>
      </c>
      <c r="S28" s="22" t="str">
        <f t="array" ref="S28">IF(D28="","",IF(F28="None",0,IF(F28="Custom",L28,IF(F28="STR",Character!$J$11,IF(F28="DEX",Character!$J$12,IF(F28="Finesse",MAX(Character!$J$11,Character!$J$12),IF(F28="Auto",IF(AK28="TRUE",Character!$J$12,IF(AD28="TRUE",MAX(Character!$J$11,Character!$J$12),Character!$J$11)),0))))))+INT(Character!$H$5*IFERROR(INDEX(Data!$B$5:$B$8,MATCH(H28,Data!$A$5:$A$8,0)),0))+I28+J28)</f>
        <v/>
      </c>
      <c r="T28" s="20" t="str">
        <f t="shared" si="3"/>
        <v/>
      </c>
      <c r="U28" s="22" t="str">
        <f>IF(D28="","",IF(G28="None",0,IF(G28="Custom",M28,IF(G28="STR",Character!$J$11,IF(G28="DEX",Character!$J$12,IF(G28="Finesse",MAX(Character!$J$11,Character!$J$12),IF(G28="Auto",IF(AK28="TRUE",Character!$J$12,IF(AD28="TRUE",MAX(Character!$J$11,Character!$J$12),Character!$J$11)),0))))))+I28+K28)</f>
        <v/>
      </c>
      <c r="V28" s="20" t="str">
        <f t="shared" si="4"/>
        <v/>
      </c>
      <c r="W28" s="20" t="str">
        <f t="shared" ref="W28:X28" si="20">IF(O28&lt;&gt;"",O28,AB28)</f>
        <v/>
      </c>
      <c r="X28" s="20" t="str">
        <f t="shared" si="20"/>
        <v/>
      </c>
      <c r="Y28" s="20" t="str">
        <f t="shared" si="6"/>
        <v/>
      </c>
      <c r="Z28" s="12" t="str">
        <f t="array" ref="Z28">IFERROR(INDEX(Data!$AC$5:$AC$24,MATCH(D28,Data!$AA$5:$AA$24,0)),"")</f>
        <v/>
      </c>
      <c r="AA28" s="12" t="str">
        <f t="array" ref="AA28">IFERROR(INDEX(Data!$AF$5:$AF$24,MATCH(D28,Data!$AA$5:$AA$24,0)),"")</f>
        <v/>
      </c>
      <c r="AB28" s="12" t="str">
        <f t="array" ref="AB28">IFERROR(INDEX(Data!$AD$5:$AD$24,MATCH(D28,Data!$AA$5:$AA$24,0)),"")</f>
        <v/>
      </c>
      <c r="AC28" s="12" t="str">
        <f t="array" ref="AC28">IFERROR(INDEX(Data!$AE$5:$AE$24,MATCH(D28,Data!$AA$5:$AA$24,0)),"")</f>
        <v/>
      </c>
      <c r="AD28" s="12" t="str">
        <f t="array" ref="AD28">IFERROR(INDEX(Data!$AG$5:$AG$24,MATCH(D28,Data!$AA$5:$AA$24,0)),"FALSE")</f>
        <v>FALSE</v>
      </c>
      <c r="AE28" s="12" t="str">
        <f t="array" ref="AE28">IFERROR(INDEX(Data!$AH$5:$AH$24,MATCH(D28,Data!$AA$5:$AA$24,0)),"FALSE")</f>
        <v>FALSE</v>
      </c>
      <c r="AF28" s="12" t="str">
        <f t="array" ref="AF28">IFERROR(INDEX(Data!$AI$5:$AI$24,MATCH(D28,Data!$AA$5:$AA$24,0)),"FALSE")</f>
        <v>FALSE</v>
      </c>
      <c r="AG28" s="12" t="str">
        <f t="array" ref="AG28">IFERROR(INDEX(Data!$AJ$5:$AJ$24,MATCH(D28,Data!$AA$5:$AA$24,0)),"FALSE")</f>
        <v>FALSE</v>
      </c>
      <c r="AH28" s="12" t="str">
        <f t="array" ref="AH28">IFERROR(INDEX(Data!$AK$5:$AK$24,MATCH(D28,Data!$AA$5:$AA$24,0)),"FALSE")</f>
        <v>FALSE</v>
      </c>
      <c r="AI28" s="12" t="str">
        <f t="array" ref="AI28">IFERROR(INDEX(Data!$AL$5:$AL$24,MATCH(D28,Data!$AA$5:$AA$24,0)),"FALSE")</f>
        <v>FALSE</v>
      </c>
      <c r="AJ28" s="12" t="str">
        <f t="array" ref="AJ28">IFERROR(INDEX(Data!$AM$5:$AM$24,MATCH(D28,Data!$AA$5:$AA$24,0)),"FALSE")</f>
        <v>FALSE</v>
      </c>
      <c r="AK28" s="12" t="str">
        <f t="array" ref="AK28">IFERROR(INDEX(Data!$AN$5:$AN$24,MATCH(D28,Data!$AA$5:$AA$24,0)),"FALSE")</f>
        <v>FALSE</v>
      </c>
      <c r="AL28" s="12" t="str">
        <f t="array" ref="AL28">IFERROR(INDEX(Data!$AO$5:$AO$24,MATCH(D28,Data!$AA$5:$AA$24,0)),"FALSE")</f>
        <v>FALSE</v>
      </c>
    </row>
    <row r="29" ht="15.75" customHeight="1"/>
    <row r="30" ht="15.75" customHeight="1">
      <c r="A30" s="7" t="s">
        <v>398</v>
      </c>
      <c r="B30" s="9"/>
      <c r="C30" s="9"/>
      <c r="D30" s="9"/>
      <c r="E30" s="10"/>
      <c r="G30" s="7" t="s">
        <v>399</v>
      </c>
      <c r="H30" s="9"/>
      <c r="I30" s="9"/>
      <c r="J30" s="9"/>
      <c r="K30" s="9"/>
      <c r="L30" s="9"/>
      <c r="M30" s="9"/>
      <c r="N30" s="9"/>
      <c r="O30" s="9"/>
      <c r="P30" s="9"/>
      <c r="Q30" s="10"/>
    </row>
    <row r="31" ht="15.75" customHeight="1">
      <c r="A31" s="15" t="s">
        <v>400</v>
      </c>
      <c r="B31" s="15" t="s">
        <v>35</v>
      </c>
      <c r="C31" s="15" t="s">
        <v>36</v>
      </c>
      <c r="D31" s="15" t="s">
        <v>10</v>
      </c>
      <c r="E31" s="15" t="s">
        <v>68</v>
      </c>
      <c r="G31" s="24" t="s">
        <v>401</v>
      </c>
      <c r="H31" s="25"/>
      <c r="I31" s="25"/>
      <c r="J31" s="25"/>
      <c r="K31" s="25"/>
      <c r="L31" s="25"/>
      <c r="M31" s="25"/>
      <c r="N31" s="25"/>
      <c r="O31" s="25"/>
      <c r="P31" s="25"/>
      <c r="Q31" s="26"/>
    </row>
    <row r="32" ht="15.75" customHeight="1">
      <c r="A32" s="12"/>
      <c r="B32" s="12"/>
      <c r="C32" s="12"/>
      <c r="D32" s="12"/>
      <c r="E32" s="12"/>
      <c r="G32" s="27"/>
      <c r="Q32" s="28"/>
    </row>
    <row r="33" ht="15.75" customHeight="1">
      <c r="A33" s="12"/>
      <c r="B33" s="12"/>
      <c r="C33" s="12"/>
      <c r="D33" s="12"/>
      <c r="E33" s="12"/>
      <c r="G33" s="27"/>
      <c r="Q33" s="28"/>
    </row>
    <row r="34" ht="15.75" customHeight="1">
      <c r="A34" s="12"/>
      <c r="B34" s="12"/>
      <c r="C34" s="12"/>
      <c r="D34" s="12"/>
      <c r="E34" s="12"/>
      <c r="G34" s="27"/>
      <c r="Q34" s="28"/>
    </row>
    <row r="35" ht="15.75" customHeight="1">
      <c r="A35" s="12"/>
      <c r="B35" s="12"/>
      <c r="C35" s="12"/>
      <c r="D35" s="12"/>
      <c r="E35" s="12"/>
      <c r="G35" s="27"/>
      <c r="Q35" s="28"/>
    </row>
    <row r="36" ht="15.75" customHeight="1">
      <c r="A36" s="12"/>
      <c r="B36" s="12"/>
      <c r="C36" s="12"/>
      <c r="D36" s="12"/>
      <c r="E36" s="12"/>
      <c r="G36" s="27"/>
      <c r="Q36" s="28"/>
    </row>
    <row r="37" ht="15.75" customHeight="1">
      <c r="A37" s="12"/>
      <c r="B37" s="12"/>
      <c r="C37" s="12"/>
      <c r="D37" s="12"/>
      <c r="E37" s="12"/>
      <c r="G37" s="27"/>
      <c r="Q37" s="28"/>
    </row>
    <row r="38" ht="15.75" customHeight="1">
      <c r="A38" s="12"/>
      <c r="B38" s="12"/>
      <c r="C38" s="12"/>
      <c r="D38" s="12"/>
      <c r="E38" s="12"/>
      <c r="G38" s="27"/>
      <c r="Q38" s="28"/>
    </row>
    <row r="39" ht="15.75" customHeight="1">
      <c r="A39" s="12"/>
      <c r="B39" s="12"/>
      <c r="C39" s="12"/>
      <c r="D39" s="12"/>
      <c r="E39" s="12"/>
      <c r="G39" s="27"/>
      <c r="Q39" s="28"/>
    </row>
    <row r="40" ht="15.75" customHeight="1">
      <c r="A40" s="12"/>
      <c r="B40" s="12"/>
      <c r="C40" s="12"/>
      <c r="D40" s="12"/>
      <c r="E40" s="12"/>
      <c r="G40" s="27"/>
      <c r="Q40" s="28"/>
    </row>
    <row r="41" ht="15.75" customHeight="1">
      <c r="A41" s="12"/>
      <c r="B41" s="12"/>
      <c r="C41" s="12"/>
      <c r="D41" s="12"/>
      <c r="E41" s="12"/>
      <c r="G41" s="29"/>
      <c r="H41" s="30"/>
      <c r="I41" s="30"/>
      <c r="J41" s="30"/>
      <c r="K41" s="30"/>
      <c r="L41" s="30"/>
      <c r="M41" s="30"/>
      <c r="N41" s="30"/>
      <c r="O41" s="30"/>
      <c r="P41" s="30"/>
      <c r="Q41" s="31"/>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L1"/>
    <mergeCell ref="A3:F3"/>
    <mergeCell ref="A11:AL11"/>
    <mergeCell ref="A30:E30"/>
    <mergeCell ref="G30:Q30"/>
    <mergeCell ref="G31:Q41"/>
  </mergeCells>
  <dataValidations>
    <dataValidation type="list" allowBlank="1" sqref="C13:C28">
      <formula1>"Main,Off,Both,Other"</formula1>
    </dataValidation>
    <dataValidation type="list" allowBlank="1" sqref="F13:G28">
      <formula1>"Auto,STR,DEX,Finesse,Custom,None"</formula1>
    </dataValidation>
    <dataValidation type="list" allowBlank="1" sqref="E8:E9 A13:B28">
      <formula1>"TRUE,FALSE"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57"/>
    <col customWidth="1" min="2" max="2" width="8.86"/>
    <col customWidth="1" min="3" max="3" width="11.14"/>
    <col customWidth="1" min="4" max="4" width="17.14"/>
    <col customWidth="1" min="5" max="5" width="12.29"/>
    <col customWidth="1" min="6" max="6" width="17.43"/>
    <col customWidth="1" min="7" max="7" width="13.29"/>
    <col customWidth="1" min="8" max="8" width="12.71"/>
    <col customWidth="1" min="9" max="9" width="29.0"/>
    <col customWidth="1" min="10" max="10" width="17.43"/>
    <col customWidth="1" min="11" max="11" width="34.57"/>
    <col customWidth="1" min="12" max="12" width="223.57"/>
    <col customWidth="1" min="13" max="13" width="258.86"/>
  </cols>
  <sheetData>
    <row r="1">
      <c r="A1" s="2" t="s">
        <v>3</v>
      </c>
      <c r="B1" s="4" t="s">
        <v>4</v>
      </c>
      <c r="C1" s="4" t="s">
        <v>5</v>
      </c>
      <c r="D1" s="4" t="s">
        <v>6</v>
      </c>
      <c r="E1" s="4" t="s">
        <v>7</v>
      </c>
      <c r="F1" s="4" t="s">
        <v>8</v>
      </c>
      <c r="G1" s="4" t="s">
        <v>9</v>
      </c>
      <c r="H1" s="4" t="s">
        <v>10</v>
      </c>
      <c r="I1" s="4" t="s">
        <v>11</v>
      </c>
      <c r="J1" s="4" t="s">
        <v>12</v>
      </c>
      <c r="K1" s="4" t="s">
        <v>13</v>
      </c>
      <c r="L1" s="4" t="s">
        <v>14</v>
      </c>
      <c r="M1" s="6"/>
    </row>
    <row r="2">
      <c r="A2" s="8" t="b">
        <v>1</v>
      </c>
      <c r="B2" s="8" t="b">
        <v>1</v>
      </c>
      <c r="C2" s="8" t="s">
        <v>18</v>
      </c>
      <c r="D2" s="8" t="s">
        <v>19</v>
      </c>
      <c r="E2" s="8" t="s">
        <v>20</v>
      </c>
      <c r="F2" s="8">
        <v>3.0</v>
      </c>
      <c r="G2" s="8">
        <v>3.0</v>
      </c>
      <c r="H2" s="8" t="s">
        <v>21</v>
      </c>
      <c r="J2" s="8" t="s">
        <v>24</v>
      </c>
      <c r="K2" s="8" t="s">
        <v>25</v>
      </c>
      <c r="L2" s="8" t="s">
        <v>26</v>
      </c>
    </row>
    <row r="3">
      <c r="A3" s="14" t="b">
        <v>1</v>
      </c>
      <c r="B3" s="14" t="b">
        <v>0</v>
      </c>
      <c r="C3" s="14" t="s">
        <v>18</v>
      </c>
      <c r="D3" s="14" t="s">
        <v>31</v>
      </c>
      <c r="E3" s="14" t="s">
        <v>34</v>
      </c>
      <c r="F3" s="15"/>
      <c r="G3" s="15"/>
      <c r="H3" s="14" t="s">
        <v>44</v>
      </c>
      <c r="I3" s="15"/>
      <c r="J3" s="15"/>
      <c r="K3" s="14" t="s">
        <v>48</v>
      </c>
      <c r="L3" s="14" t="s">
        <v>50</v>
      </c>
      <c r="M3" s="15"/>
    </row>
    <row r="4">
      <c r="A4" s="16" t="b">
        <v>1</v>
      </c>
      <c r="B4" s="16" t="b">
        <v>0</v>
      </c>
      <c r="C4" s="16" t="s">
        <v>18</v>
      </c>
      <c r="D4" s="16" t="s">
        <v>70</v>
      </c>
      <c r="E4" s="16" t="s">
        <v>34</v>
      </c>
      <c r="F4" s="12"/>
      <c r="G4" s="12"/>
      <c r="H4" s="16" t="s">
        <v>44</v>
      </c>
      <c r="I4" s="12"/>
      <c r="J4" s="12"/>
      <c r="K4" s="16" t="s">
        <v>81</v>
      </c>
      <c r="L4" s="16" t="s">
        <v>82</v>
      </c>
      <c r="M4" s="16" t="s">
        <v>83</v>
      </c>
    </row>
    <row r="5">
      <c r="A5" s="16" t="b">
        <v>1</v>
      </c>
      <c r="B5" s="16" t="b">
        <v>0</v>
      </c>
      <c r="C5" s="16" t="s">
        <v>18</v>
      </c>
      <c r="D5" s="16" t="s">
        <v>84</v>
      </c>
      <c r="E5" s="16" t="s">
        <v>34</v>
      </c>
      <c r="F5" s="12"/>
      <c r="G5" s="12"/>
      <c r="H5" s="16" t="s">
        <v>44</v>
      </c>
      <c r="I5" s="12"/>
      <c r="J5" s="12"/>
      <c r="K5" s="16" t="s">
        <v>86</v>
      </c>
      <c r="L5" s="16" t="s">
        <v>87</v>
      </c>
      <c r="M5" s="16" t="s">
        <v>88</v>
      </c>
    </row>
    <row r="6">
      <c r="A6" s="16" t="b">
        <v>1</v>
      </c>
      <c r="B6" s="16" t="b">
        <v>0</v>
      </c>
      <c r="C6" s="16" t="s">
        <v>18</v>
      </c>
      <c r="D6" s="16" t="s">
        <v>89</v>
      </c>
      <c r="E6" s="16" t="s">
        <v>34</v>
      </c>
      <c r="F6" s="12"/>
      <c r="G6" s="12"/>
      <c r="H6" s="16" t="s">
        <v>44</v>
      </c>
      <c r="I6" s="12"/>
      <c r="J6" s="12"/>
      <c r="K6" s="18" t="s">
        <v>91</v>
      </c>
      <c r="L6" s="16" t="s">
        <v>93</v>
      </c>
      <c r="M6" s="16" t="s">
        <v>94</v>
      </c>
    </row>
    <row r="7">
      <c r="A7" s="16" t="b">
        <v>1</v>
      </c>
      <c r="B7" s="16" t="b">
        <v>0</v>
      </c>
      <c r="C7" s="16" t="s">
        <v>95</v>
      </c>
      <c r="D7" s="16" t="s">
        <v>102</v>
      </c>
      <c r="E7" s="16" t="s">
        <v>34</v>
      </c>
      <c r="F7" s="12"/>
      <c r="G7" s="12"/>
      <c r="H7" s="16" t="s">
        <v>104</v>
      </c>
      <c r="I7" s="16" t="s">
        <v>105</v>
      </c>
      <c r="J7" s="16" t="s">
        <v>106</v>
      </c>
      <c r="K7" s="16" t="s">
        <v>107</v>
      </c>
      <c r="L7" s="16" t="s">
        <v>108</v>
      </c>
      <c r="M7" s="12"/>
    </row>
    <row r="8">
      <c r="A8" s="16" t="b">
        <v>1</v>
      </c>
      <c r="B8" s="16" t="b">
        <v>1</v>
      </c>
      <c r="C8" s="16" t="s">
        <v>109</v>
      </c>
      <c r="D8" s="16" t="s">
        <v>110</v>
      </c>
      <c r="E8" s="16" t="s">
        <v>111</v>
      </c>
      <c r="F8" s="16">
        <v>3.0</v>
      </c>
      <c r="G8" s="16">
        <v>3.0</v>
      </c>
      <c r="H8" s="16" t="s">
        <v>112</v>
      </c>
      <c r="I8" s="16" t="s">
        <v>113</v>
      </c>
      <c r="J8" s="16" t="s">
        <v>114</v>
      </c>
      <c r="K8" s="16" t="s">
        <v>115</v>
      </c>
      <c r="L8" s="16" t="s">
        <v>116</v>
      </c>
      <c r="M8" s="12"/>
    </row>
    <row r="9">
      <c r="A9" s="16" t="b">
        <v>1</v>
      </c>
      <c r="B9" s="16" t="b">
        <v>1</v>
      </c>
      <c r="C9" s="16" t="s">
        <v>18</v>
      </c>
      <c r="D9" s="16" t="s">
        <v>117</v>
      </c>
      <c r="E9" s="16" t="s">
        <v>20</v>
      </c>
      <c r="F9" s="16">
        <v>1.0</v>
      </c>
      <c r="G9" s="16">
        <v>1.0</v>
      </c>
      <c r="H9" s="16" t="s">
        <v>112</v>
      </c>
      <c r="I9" s="16" t="s">
        <v>124</v>
      </c>
      <c r="J9" s="16" t="s">
        <v>126</v>
      </c>
      <c r="K9" s="16" t="s">
        <v>128</v>
      </c>
      <c r="L9" s="16" t="s">
        <v>130</v>
      </c>
      <c r="M9" s="12"/>
    </row>
    <row r="10">
      <c r="A10" s="16" t="b">
        <v>1</v>
      </c>
      <c r="B10" s="16" t="b">
        <v>1</v>
      </c>
      <c r="C10" s="16" t="s">
        <v>18</v>
      </c>
      <c r="D10" s="16" t="s">
        <v>136</v>
      </c>
      <c r="E10" s="16" t="s">
        <v>20</v>
      </c>
      <c r="F10" s="16">
        <v>2.0</v>
      </c>
      <c r="G10" s="16">
        <v>2.0</v>
      </c>
      <c r="H10" s="16" t="s">
        <v>21</v>
      </c>
      <c r="I10" s="12"/>
      <c r="J10" s="16" t="s">
        <v>24</v>
      </c>
      <c r="K10" s="18" t="s">
        <v>144</v>
      </c>
      <c r="L10" s="16" t="s">
        <v>146</v>
      </c>
      <c r="M10" s="12"/>
    </row>
    <row r="11">
      <c r="A11" s="16" t="b">
        <v>1</v>
      </c>
      <c r="B11" s="16" t="b">
        <v>0</v>
      </c>
      <c r="C11" s="16" t="s">
        <v>28</v>
      </c>
      <c r="D11" s="16" t="s">
        <v>153</v>
      </c>
      <c r="E11" s="16" t="s">
        <v>34</v>
      </c>
      <c r="F11" s="12"/>
      <c r="G11" s="12"/>
      <c r="H11" s="16" t="s">
        <v>44</v>
      </c>
      <c r="I11" s="12"/>
      <c r="J11" s="12"/>
      <c r="K11" s="16" t="s">
        <v>160</v>
      </c>
      <c r="L11" s="16" t="s">
        <v>161</v>
      </c>
      <c r="M11" s="12"/>
    </row>
    <row r="12">
      <c r="A12" s="12" t="b">
        <v>0</v>
      </c>
      <c r="B12" s="12" t="b">
        <v>0</v>
      </c>
      <c r="C12" s="12"/>
      <c r="D12" s="12"/>
      <c r="E12" s="12"/>
      <c r="F12" s="12"/>
      <c r="G12" s="12"/>
      <c r="H12" s="12"/>
      <c r="I12" s="12"/>
      <c r="J12" s="12"/>
      <c r="K12" s="12"/>
      <c r="L12" s="12"/>
      <c r="M12" s="12"/>
    </row>
    <row r="13">
      <c r="A13" s="12" t="b">
        <v>0</v>
      </c>
      <c r="B13" s="12" t="b">
        <v>0</v>
      </c>
      <c r="C13" s="12"/>
      <c r="D13" s="12"/>
      <c r="E13" s="12"/>
      <c r="F13" s="12"/>
      <c r="G13" s="12"/>
      <c r="H13" s="12"/>
      <c r="I13" s="12"/>
      <c r="J13" s="12"/>
      <c r="K13" s="12"/>
      <c r="L13" s="12"/>
      <c r="M13" s="12"/>
    </row>
    <row r="14">
      <c r="A14" s="12" t="b">
        <v>0</v>
      </c>
      <c r="B14" s="12" t="b">
        <v>0</v>
      </c>
      <c r="C14" s="12"/>
      <c r="D14" s="12"/>
      <c r="E14" s="12"/>
      <c r="F14" s="12"/>
      <c r="G14" s="12"/>
      <c r="H14" s="12"/>
      <c r="I14" s="12"/>
      <c r="J14" s="12"/>
      <c r="K14" s="12"/>
      <c r="L14" s="12"/>
      <c r="M14" s="12"/>
    </row>
    <row r="15">
      <c r="A15" s="12" t="b">
        <v>0</v>
      </c>
      <c r="B15" s="12" t="b">
        <v>0</v>
      </c>
      <c r="C15" s="12"/>
      <c r="D15" s="12"/>
      <c r="E15" s="12"/>
      <c r="F15" s="12"/>
      <c r="G15" s="12"/>
      <c r="H15" s="12"/>
      <c r="I15" s="12"/>
      <c r="J15" s="12"/>
      <c r="K15" s="12"/>
      <c r="L15" s="12"/>
      <c r="M15" s="12"/>
    </row>
    <row r="16">
      <c r="A16" s="12" t="b">
        <v>0</v>
      </c>
      <c r="B16" s="12" t="b">
        <v>0</v>
      </c>
      <c r="C16" s="12"/>
      <c r="D16" s="12"/>
      <c r="E16" s="12"/>
      <c r="F16" s="12"/>
      <c r="G16" s="12"/>
      <c r="H16" s="12"/>
      <c r="I16" s="12"/>
      <c r="J16" s="12"/>
      <c r="K16" s="12"/>
      <c r="L16" s="12"/>
      <c r="M16" s="12"/>
    </row>
    <row r="17">
      <c r="A17" s="12" t="b">
        <v>0</v>
      </c>
      <c r="B17" s="12" t="b">
        <v>0</v>
      </c>
      <c r="C17" s="12"/>
      <c r="D17" s="12"/>
      <c r="E17" s="12"/>
      <c r="F17" s="12"/>
      <c r="G17" s="12"/>
      <c r="H17" s="12"/>
      <c r="I17" s="12"/>
      <c r="J17" s="12"/>
      <c r="K17" s="12"/>
      <c r="L17" s="12"/>
      <c r="M17" s="12"/>
    </row>
    <row r="18">
      <c r="A18" s="12" t="b">
        <v>0</v>
      </c>
      <c r="B18" s="12" t="b">
        <v>0</v>
      </c>
      <c r="C18" s="12"/>
      <c r="D18" s="12"/>
      <c r="E18" s="12"/>
      <c r="F18" s="12"/>
      <c r="G18" s="12"/>
      <c r="H18" s="12"/>
      <c r="I18" s="12"/>
      <c r="J18" s="12"/>
      <c r="K18" s="12"/>
      <c r="L18" s="12"/>
      <c r="M18" s="12"/>
    </row>
    <row r="19">
      <c r="A19" s="12" t="b">
        <v>0</v>
      </c>
      <c r="B19" s="12" t="b">
        <v>0</v>
      </c>
      <c r="C19" s="12"/>
      <c r="D19" s="12"/>
      <c r="E19" s="12"/>
      <c r="F19" s="12"/>
      <c r="G19" s="12"/>
      <c r="H19" s="12"/>
      <c r="I19" s="12"/>
      <c r="J19" s="12"/>
      <c r="K19" s="12"/>
      <c r="L19" s="12"/>
      <c r="M19" s="12"/>
    </row>
    <row r="20">
      <c r="A20" s="21" t="b">
        <v>0</v>
      </c>
    </row>
    <row r="21" ht="15.75" customHeight="1">
      <c r="A21" s="21" t="b">
        <v>0</v>
      </c>
    </row>
    <row r="22" ht="15.75" customHeight="1">
      <c r="A22" s="21" t="b">
        <v>0</v>
      </c>
    </row>
    <row r="23" ht="15.75" customHeight="1">
      <c r="A23" s="21" t="b">
        <v>0</v>
      </c>
    </row>
    <row r="24" ht="15.75" customHeight="1">
      <c r="A24" s="21" t="b">
        <v>0</v>
      </c>
    </row>
    <row r="25" ht="15.75" customHeight="1">
      <c r="A25" s="21" t="b">
        <v>0</v>
      </c>
    </row>
    <row r="26" ht="15.75" customHeight="1">
      <c r="A26" s="21" t="b">
        <v>0</v>
      </c>
    </row>
    <row r="27" ht="15.75" customHeight="1">
      <c r="A27" s="21" t="b">
        <v>0</v>
      </c>
    </row>
    <row r="28" ht="15.75" customHeight="1">
      <c r="A28" s="21" t="b">
        <v>0</v>
      </c>
    </row>
    <row r="29" ht="15.75" customHeight="1">
      <c r="A29" s="21" t="b">
        <v>0</v>
      </c>
    </row>
    <row r="30" ht="15.75" customHeight="1">
      <c r="A30" s="21" t="b">
        <v>0</v>
      </c>
    </row>
    <row r="31" ht="15.75" customHeight="1">
      <c r="A31" s="21" t="b">
        <v>0</v>
      </c>
    </row>
    <row r="32" ht="15.75" customHeight="1">
      <c r="A32" s="21" t="b">
        <v>0</v>
      </c>
    </row>
    <row r="33" ht="15.75" customHeight="1">
      <c r="A33" s="21" t="b">
        <v>0</v>
      </c>
    </row>
    <row r="34" ht="15.75" customHeight="1">
      <c r="A34" s="21" t="b">
        <v>0</v>
      </c>
    </row>
    <row r="35" ht="15.75" customHeight="1">
      <c r="A35" s="21" t="b">
        <v>0</v>
      </c>
    </row>
    <row r="36" ht="15.75" customHeight="1">
      <c r="A36" s="21" t="b">
        <v>0</v>
      </c>
    </row>
    <row r="37" ht="15.75" customHeight="1">
      <c r="A37" s="21" t="b">
        <v>0</v>
      </c>
    </row>
    <row r="38" ht="15.75" customHeight="1">
      <c r="A38" s="21" t="b">
        <v>0</v>
      </c>
    </row>
    <row r="39" ht="15.75" customHeight="1">
      <c r="A39" s="21" t="b">
        <v>0</v>
      </c>
    </row>
    <row r="40" ht="15.75" customHeight="1">
      <c r="A40" s="21" t="b">
        <v>0</v>
      </c>
    </row>
    <row r="41" ht="15.75" customHeight="1">
      <c r="A41" s="21" t="b">
        <v>0</v>
      </c>
    </row>
    <row r="42" ht="15.75" customHeight="1">
      <c r="A42" s="21" t="b">
        <v>0</v>
      </c>
    </row>
    <row r="43" ht="15.75" customHeight="1">
      <c r="A43" s="21" t="b">
        <v>0</v>
      </c>
    </row>
    <row r="44" ht="15.75" customHeight="1">
      <c r="A44" s="21" t="b">
        <v>0</v>
      </c>
    </row>
    <row r="45" ht="15.75" customHeight="1">
      <c r="A45" s="21" t="b">
        <v>0</v>
      </c>
    </row>
    <row r="46" ht="15.75" customHeight="1">
      <c r="A46" s="21" t="b">
        <v>0</v>
      </c>
    </row>
    <row r="47" ht="15.75" customHeight="1">
      <c r="A47" s="21" t="b">
        <v>0</v>
      </c>
    </row>
    <row r="48" ht="15.75" customHeight="1">
      <c r="A48" s="21" t="b">
        <v>0</v>
      </c>
    </row>
    <row r="49" ht="15.75" customHeight="1">
      <c r="A49" s="21" t="b">
        <v>0</v>
      </c>
    </row>
    <row r="50" ht="15.75" customHeight="1">
      <c r="A50" s="21" t="b">
        <v>0</v>
      </c>
    </row>
    <row r="51" ht="15.75" customHeight="1">
      <c r="A51" s="21" t="b">
        <v>0</v>
      </c>
    </row>
    <row r="52" ht="15.75" customHeight="1">
      <c r="A52" s="21" t="b">
        <v>0</v>
      </c>
    </row>
    <row r="53" ht="15.75" customHeight="1">
      <c r="A53" s="21" t="b">
        <v>0</v>
      </c>
    </row>
    <row r="54" ht="15.75" customHeight="1">
      <c r="A54" s="21" t="b">
        <v>0</v>
      </c>
    </row>
    <row r="55" ht="15.75" customHeight="1">
      <c r="A55" s="21" t="b">
        <v>0</v>
      </c>
    </row>
    <row r="56" ht="15.75" customHeight="1">
      <c r="A56" s="21" t="b">
        <v>0</v>
      </c>
    </row>
    <row r="57" ht="15.75" customHeight="1">
      <c r="A57" s="21" t="b">
        <v>0</v>
      </c>
    </row>
    <row r="58" ht="15.75" customHeight="1">
      <c r="A58" s="21" t="b">
        <v>0</v>
      </c>
    </row>
    <row r="59" ht="15.75" customHeight="1">
      <c r="A59" s="21" t="b">
        <v>0</v>
      </c>
    </row>
    <row r="60" ht="15.75" customHeight="1">
      <c r="A60" s="21" t="b">
        <v>0</v>
      </c>
    </row>
    <row r="61" ht="15.75" customHeight="1">
      <c r="A61" s="21" t="b">
        <v>0</v>
      </c>
    </row>
    <row r="62" ht="15.75" customHeight="1">
      <c r="A62" s="21" t="b">
        <v>0</v>
      </c>
    </row>
    <row r="63" ht="15.75" customHeight="1">
      <c r="A63" s="21" t="b">
        <v>0</v>
      </c>
    </row>
    <row r="64" ht="15.75" customHeight="1">
      <c r="A64" s="21" t="b">
        <v>0</v>
      </c>
    </row>
    <row r="65" ht="15.75" customHeight="1">
      <c r="A65" s="21" t="b">
        <v>0</v>
      </c>
    </row>
    <row r="66" ht="15.75" customHeight="1">
      <c r="A66" s="21" t="b">
        <v>0</v>
      </c>
    </row>
    <row r="67" ht="15.75" customHeight="1">
      <c r="A67" s="21" t="b">
        <v>0</v>
      </c>
    </row>
    <row r="68" ht="15.75" customHeight="1">
      <c r="A68" s="21" t="b">
        <v>0</v>
      </c>
    </row>
    <row r="69" ht="15.75" customHeight="1">
      <c r="A69" s="21" t="b">
        <v>0</v>
      </c>
    </row>
    <row r="70" ht="15.75" customHeight="1">
      <c r="A70" s="21" t="b">
        <v>0</v>
      </c>
    </row>
    <row r="71" ht="15.75" customHeight="1">
      <c r="A71" s="21" t="b">
        <v>0</v>
      </c>
    </row>
    <row r="72" ht="15.75" customHeight="1">
      <c r="A72" s="21" t="b">
        <v>0</v>
      </c>
    </row>
    <row r="73" ht="15.75" customHeight="1">
      <c r="A73" s="21" t="b">
        <v>0</v>
      </c>
    </row>
    <row r="74" ht="15.75" customHeight="1">
      <c r="A74" s="21" t="b">
        <v>0</v>
      </c>
    </row>
    <row r="75" ht="15.75" customHeight="1">
      <c r="A75" s="21" t="b">
        <v>0</v>
      </c>
    </row>
    <row r="76" ht="15.75" customHeight="1">
      <c r="A76" s="21" t="b">
        <v>0</v>
      </c>
    </row>
    <row r="77" ht="15.75" customHeight="1">
      <c r="A77" s="21" t="b">
        <v>0</v>
      </c>
    </row>
    <row r="78" ht="15.75" customHeight="1">
      <c r="A78" s="21" t="b">
        <v>0</v>
      </c>
    </row>
    <row r="79" ht="15.75" customHeight="1">
      <c r="A79" s="21" t="b">
        <v>0</v>
      </c>
    </row>
    <row r="80" ht="15.75" customHeight="1">
      <c r="A80" s="21" t="b">
        <v>0</v>
      </c>
    </row>
    <row r="81" ht="15.75" customHeight="1">
      <c r="A81" s="21" t="b">
        <v>0</v>
      </c>
    </row>
    <row r="82" ht="15.75" customHeight="1">
      <c r="A82" s="21" t="b">
        <v>0</v>
      </c>
    </row>
    <row r="83" ht="15.75" customHeight="1">
      <c r="A83" s="21" t="b">
        <v>0</v>
      </c>
    </row>
    <row r="84" ht="15.75" customHeight="1">
      <c r="A84" s="21" t="b">
        <v>0</v>
      </c>
    </row>
    <row r="85" ht="15.75" customHeight="1">
      <c r="A85" s="21" t="b">
        <v>0</v>
      </c>
    </row>
    <row r="86" ht="15.75" customHeight="1">
      <c r="A86" s="21" t="b">
        <v>0</v>
      </c>
    </row>
    <row r="87" ht="15.75" customHeight="1">
      <c r="A87" s="21" t="b">
        <v>0</v>
      </c>
    </row>
    <row r="88" ht="15.75" customHeight="1">
      <c r="A88" s="21" t="b">
        <v>0</v>
      </c>
    </row>
    <row r="89" ht="15.75" customHeight="1">
      <c r="A89" s="21" t="b">
        <v>0</v>
      </c>
    </row>
    <row r="90" ht="15.75" customHeight="1">
      <c r="A90" s="21" t="b">
        <v>0</v>
      </c>
    </row>
    <row r="91" ht="15.75" customHeight="1">
      <c r="A91" s="21" t="b">
        <v>0</v>
      </c>
    </row>
    <row r="92" ht="15.75" customHeight="1">
      <c r="A92" s="21" t="b">
        <v>0</v>
      </c>
    </row>
    <row r="93" ht="15.75" customHeight="1">
      <c r="A93" s="21" t="b">
        <v>0</v>
      </c>
    </row>
    <row r="94" ht="15.75" customHeight="1">
      <c r="A94" s="21" t="b">
        <v>0</v>
      </c>
    </row>
    <row r="95" ht="15.75" customHeight="1">
      <c r="A95" s="21" t="b">
        <v>0</v>
      </c>
    </row>
    <row r="96" ht="15.75" customHeight="1">
      <c r="A96" s="21" t="b">
        <v>0</v>
      </c>
    </row>
    <row r="97" ht="15.75" customHeight="1">
      <c r="A97" s="21" t="b">
        <v>0</v>
      </c>
    </row>
    <row r="98" ht="15.75" customHeight="1">
      <c r="A98" s="21" t="b">
        <v>0</v>
      </c>
    </row>
    <row r="99" ht="15.75" customHeight="1">
      <c r="A99" s="21" t="b">
        <v>0</v>
      </c>
    </row>
    <row r="100" ht="15.75" customHeight="1">
      <c r="A100" s="21" t="b">
        <v>0</v>
      </c>
    </row>
    <row r="101" ht="15.75" customHeight="1">
      <c r="A101" s="21" t="b">
        <v>0</v>
      </c>
    </row>
    <row r="102" ht="15.75" customHeight="1">
      <c r="A102" s="21" t="b">
        <v>0</v>
      </c>
    </row>
    <row r="103" ht="15.75" customHeight="1">
      <c r="A103" s="21" t="b">
        <v>0</v>
      </c>
    </row>
    <row r="104" ht="15.75" customHeight="1">
      <c r="A104" s="21" t="b">
        <v>0</v>
      </c>
    </row>
    <row r="105" ht="15.75" customHeight="1">
      <c r="A105" s="21" t="b">
        <v>0</v>
      </c>
    </row>
    <row r="106" ht="15.75" customHeight="1">
      <c r="A106" s="21" t="b">
        <v>0</v>
      </c>
    </row>
    <row r="107" ht="15.75" customHeight="1">
      <c r="A107" s="21" t="b">
        <v>0</v>
      </c>
    </row>
    <row r="108" ht="15.75" customHeight="1">
      <c r="A108" s="21" t="b">
        <v>0</v>
      </c>
    </row>
    <row r="109" ht="15.75" customHeight="1">
      <c r="A109" s="21" t="b">
        <v>0</v>
      </c>
    </row>
    <row r="110" ht="15.75" customHeight="1">
      <c r="A110" s="21" t="b">
        <v>0</v>
      </c>
    </row>
    <row r="111" ht="15.75" customHeight="1">
      <c r="A111" s="21" t="b">
        <v>0</v>
      </c>
    </row>
    <row r="112" ht="15.75" customHeight="1">
      <c r="A112" s="21" t="b">
        <v>0</v>
      </c>
    </row>
    <row r="113" ht="15.75" customHeight="1">
      <c r="A113" s="21" t="b">
        <v>0</v>
      </c>
    </row>
    <row r="114" ht="15.75" customHeight="1">
      <c r="A114" s="21" t="b">
        <v>0</v>
      </c>
    </row>
    <row r="115" ht="15.75" customHeight="1">
      <c r="A115" s="21" t="b">
        <v>0</v>
      </c>
    </row>
    <row r="116" ht="15.75" customHeight="1">
      <c r="A116" s="21" t="b">
        <v>0</v>
      </c>
    </row>
    <row r="117" ht="15.75" customHeight="1">
      <c r="A117" s="21" t="b">
        <v>0</v>
      </c>
    </row>
    <row r="118" ht="15.75" customHeight="1">
      <c r="A118" s="21" t="b">
        <v>0</v>
      </c>
    </row>
    <row r="119" ht="15.75" customHeight="1">
      <c r="A119" s="21" t="b">
        <v>0</v>
      </c>
    </row>
    <row r="120" ht="15.75" customHeight="1">
      <c r="A120" s="21" t="b">
        <v>0</v>
      </c>
    </row>
    <row r="121" ht="15.75" customHeight="1">
      <c r="A121" s="21" t="b">
        <v>0</v>
      </c>
    </row>
    <row r="122" ht="15.75" customHeight="1">
      <c r="A122" s="21" t="b">
        <v>0</v>
      </c>
    </row>
    <row r="123" ht="15.75" customHeight="1">
      <c r="A123" s="21" t="b">
        <v>0</v>
      </c>
    </row>
    <row r="124" ht="15.75" customHeight="1">
      <c r="A124" s="21" t="b">
        <v>0</v>
      </c>
    </row>
    <row r="125" ht="15.75" customHeight="1">
      <c r="A125" s="21" t="b">
        <v>0</v>
      </c>
    </row>
    <row r="126" ht="15.75" customHeight="1">
      <c r="A126" s="21" t="b">
        <v>0</v>
      </c>
    </row>
    <row r="127" ht="15.75" customHeight="1">
      <c r="A127" s="21" t="b">
        <v>0</v>
      </c>
    </row>
    <row r="128" ht="15.75" customHeight="1">
      <c r="A128" s="21" t="b">
        <v>0</v>
      </c>
    </row>
    <row r="129" ht="15.75" customHeight="1">
      <c r="A129" s="21" t="b">
        <v>0</v>
      </c>
    </row>
    <row r="130" ht="15.75" customHeight="1">
      <c r="A130" s="21" t="b">
        <v>0</v>
      </c>
    </row>
    <row r="131" ht="15.75" customHeight="1">
      <c r="A131" s="21" t="b">
        <v>0</v>
      </c>
    </row>
    <row r="132" ht="15.75" customHeight="1">
      <c r="A132" s="21" t="b">
        <v>0</v>
      </c>
    </row>
    <row r="133" ht="15.75" customHeight="1">
      <c r="A133" s="21" t="b">
        <v>0</v>
      </c>
    </row>
    <row r="134" ht="15.75" customHeight="1">
      <c r="A134" s="21" t="b">
        <v>0</v>
      </c>
    </row>
    <row r="135" ht="15.75" customHeight="1">
      <c r="A135" s="21" t="b">
        <v>0</v>
      </c>
    </row>
    <row r="136" ht="15.75" customHeight="1">
      <c r="A136" s="21" t="b">
        <v>0</v>
      </c>
    </row>
    <row r="137" ht="15.75" customHeight="1">
      <c r="A137" s="21" t="b">
        <v>0</v>
      </c>
    </row>
    <row r="138" ht="15.75" customHeight="1">
      <c r="A138" s="21" t="b">
        <v>0</v>
      </c>
    </row>
    <row r="139" ht="15.75" customHeight="1">
      <c r="A139" s="21" t="b">
        <v>0</v>
      </c>
    </row>
    <row r="140" ht="15.75" customHeight="1">
      <c r="A140" s="21" t="b">
        <v>0</v>
      </c>
    </row>
    <row r="141" ht="15.75" customHeight="1">
      <c r="A141" s="21" t="b">
        <v>0</v>
      </c>
    </row>
    <row r="142" ht="15.75" customHeight="1">
      <c r="A142" s="21" t="b">
        <v>0</v>
      </c>
    </row>
    <row r="143" ht="15.75" customHeight="1">
      <c r="A143" s="21" t="b">
        <v>0</v>
      </c>
    </row>
    <row r="144" ht="15.75" customHeight="1">
      <c r="A144" s="21" t="b">
        <v>0</v>
      </c>
    </row>
    <row r="145" ht="15.75" customHeight="1">
      <c r="A145" s="21" t="b">
        <v>0</v>
      </c>
    </row>
    <row r="146" ht="15.75" customHeight="1">
      <c r="A146" s="21" t="b">
        <v>0</v>
      </c>
    </row>
    <row r="147" ht="15.75" customHeight="1">
      <c r="A147" s="21" t="b">
        <v>0</v>
      </c>
    </row>
    <row r="148" ht="15.75" customHeight="1">
      <c r="A148" s="21" t="b">
        <v>0</v>
      </c>
    </row>
    <row r="149" ht="15.75" customHeight="1">
      <c r="A149" s="21" t="b">
        <v>0</v>
      </c>
    </row>
    <row r="150" ht="15.75" customHeight="1">
      <c r="A150" s="21" t="b">
        <v>0</v>
      </c>
    </row>
    <row r="151" ht="15.75" customHeight="1">
      <c r="A151" s="21" t="b">
        <v>0</v>
      </c>
    </row>
    <row r="152" ht="15.75" customHeight="1">
      <c r="A152" s="21" t="b">
        <v>0</v>
      </c>
    </row>
    <row r="153" ht="15.75" customHeight="1">
      <c r="A153" s="21" t="b">
        <v>0</v>
      </c>
    </row>
    <row r="154" ht="15.75" customHeight="1">
      <c r="A154" s="21" t="b">
        <v>0</v>
      </c>
    </row>
    <row r="155" ht="15.75" customHeight="1">
      <c r="A155" s="21" t="b">
        <v>0</v>
      </c>
    </row>
    <row r="156" ht="15.75" customHeight="1">
      <c r="A156" s="21" t="b">
        <v>0</v>
      </c>
    </row>
    <row r="157" ht="15.75" customHeight="1">
      <c r="A157" s="21" t="b">
        <v>0</v>
      </c>
    </row>
    <row r="158" ht="15.75" customHeight="1">
      <c r="A158" s="21" t="b">
        <v>0</v>
      </c>
    </row>
    <row r="159" ht="15.75" customHeight="1">
      <c r="A159" s="21" t="b">
        <v>0</v>
      </c>
    </row>
    <row r="160" ht="15.75" customHeight="1">
      <c r="A160" s="21" t="b">
        <v>0</v>
      </c>
    </row>
    <row r="161" ht="15.75" customHeight="1">
      <c r="A161" s="21" t="b">
        <v>0</v>
      </c>
    </row>
    <row r="162" ht="15.75" customHeight="1">
      <c r="A162" s="21" t="b">
        <v>0</v>
      </c>
    </row>
    <row r="163" ht="15.75" customHeight="1">
      <c r="A163" s="21" t="b">
        <v>0</v>
      </c>
    </row>
    <row r="164" ht="15.75" customHeight="1">
      <c r="A164" s="21" t="b">
        <v>0</v>
      </c>
    </row>
    <row r="165" ht="15.75" customHeight="1">
      <c r="A165" s="21" t="b">
        <v>0</v>
      </c>
    </row>
    <row r="166" ht="15.75" customHeight="1">
      <c r="A166" s="21" t="b">
        <v>0</v>
      </c>
    </row>
    <row r="167" ht="15.75" customHeight="1">
      <c r="A167" s="21" t="b">
        <v>0</v>
      </c>
    </row>
    <row r="168" ht="15.75" customHeight="1">
      <c r="A168" s="21" t="b">
        <v>0</v>
      </c>
    </row>
    <row r="169" ht="15.75" customHeight="1">
      <c r="A169" s="21" t="b">
        <v>0</v>
      </c>
    </row>
    <row r="170" ht="15.75" customHeight="1">
      <c r="A170" s="21" t="b">
        <v>0</v>
      </c>
    </row>
    <row r="171" ht="15.75" customHeight="1">
      <c r="A171" s="21" t="b">
        <v>0</v>
      </c>
    </row>
    <row r="172" ht="15.75" customHeight="1">
      <c r="A172" s="21" t="b">
        <v>0</v>
      </c>
    </row>
    <row r="173" ht="15.75" customHeight="1">
      <c r="A173" s="21" t="b">
        <v>0</v>
      </c>
    </row>
    <row r="174" ht="15.75" customHeight="1">
      <c r="A174" s="21" t="b">
        <v>0</v>
      </c>
    </row>
    <row r="175" ht="15.75" customHeight="1">
      <c r="A175" s="21" t="b">
        <v>0</v>
      </c>
    </row>
    <row r="176" ht="15.75" customHeight="1">
      <c r="A176" s="21" t="b">
        <v>0</v>
      </c>
    </row>
    <row r="177" ht="15.75" customHeight="1">
      <c r="A177" s="21" t="b">
        <v>0</v>
      </c>
    </row>
    <row r="178" ht="15.75" customHeight="1">
      <c r="A178" s="21" t="b">
        <v>0</v>
      </c>
    </row>
    <row r="179" ht="15.75" customHeight="1">
      <c r="A179" s="21" t="b">
        <v>0</v>
      </c>
    </row>
    <row r="180" ht="15.75" customHeight="1">
      <c r="A180" s="21" t="b">
        <v>0</v>
      </c>
    </row>
    <row r="181" ht="15.75" customHeight="1">
      <c r="A181" s="21" t="b">
        <v>0</v>
      </c>
    </row>
    <row r="182" ht="15.75" customHeight="1">
      <c r="A182" s="21" t="b">
        <v>0</v>
      </c>
    </row>
    <row r="183" ht="15.75" customHeight="1">
      <c r="A183" s="21" t="b">
        <v>0</v>
      </c>
    </row>
    <row r="184" ht="15.75" customHeight="1">
      <c r="A184" s="21" t="b">
        <v>0</v>
      </c>
    </row>
    <row r="185" ht="15.75" customHeight="1">
      <c r="A185" s="21" t="b">
        <v>0</v>
      </c>
    </row>
    <row r="186" ht="15.75" customHeight="1">
      <c r="A186" s="21" t="b">
        <v>0</v>
      </c>
    </row>
    <row r="187" ht="15.75" customHeight="1">
      <c r="A187" s="21" t="b">
        <v>0</v>
      </c>
    </row>
    <row r="188" ht="15.75" customHeight="1">
      <c r="A188" s="21" t="b">
        <v>0</v>
      </c>
    </row>
    <row r="189" ht="15.75" customHeight="1">
      <c r="A189" s="21" t="b">
        <v>0</v>
      </c>
    </row>
    <row r="190" ht="15.75" customHeight="1">
      <c r="A190" s="21" t="b">
        <v>0</v>
      </c>
    </row>
    <row r="191" ht="15.75" customHeight="1">
      <c r="A191" s="21" t="b">
        <v>0</v>
      </c>
    </row>
    <row r="192" ht="15.75" customHeight="1">
      <c r="A192" s="21" t="b">
        <v>0</v>
      </c>
    </row>
    <row r="193" ht="15.75" customHeight="1">
      <c r="A193" s="21" t="b">
        <v>0</v>
      </c>
    </row>
    <row r="194" ht="15.75" customHeight="1">
      <c r="A194" s="21" t="b">
        <v>0</v>
      </c>
    </row>
    <row r="195" ht="15.75" customHeight="1">
      <c r="A195" s="21" t="b">
        <v>0</v>
      </c>
    </row>
    <row r="196" ht="15.75" customHeight="1">
      <c r="A196" s="21" t="b">
        <v>0</v>
      </c>
    </row>
    <row r="197" ht="15.75" customHeight="1">
      <c r="A197" s="21" t="b">
        <v>0</v>
      </c>
    </row>
    <row r="198" ht="15.75" customHeight="1">
      <c r="A198" s="21" t="b">
        <v>0</v>
      </c>
    </row>
    <row r="199" ht="15.75" customHeight="1">
      <c r="A199" s="21" t="b">
        <v>0</v>
      </c>
    </row>
    <row r="200" ht="15.75" customHeight="1">
      <c r="A200" s="21" t="b">
        <v>0</v>
      </c>
    </row>
    <row r="201" ht="15.75" customHeight="1">
      <c r="A201" s="21" t="b">
        <v>0</v>
      </c>
    </row>
    <row r="202" ht="15.75" customHeight="1">
      <c r="A202" s="21" t="b">
        <v>0</v>
      </c>
    </row>
    <row r="203" ht="15.75" customHeight="1">
      <c r="A203" s="21" t="b">
        <v>0</v>
      </c>
    </row>
    <row r="204" ht="15.75" customHeight="1">
      <c r="A204" s="21" t="b">
        <v>0</v>
      </c>
    </row>
    <row r="205" ht="15.75" customHeight="1">
      <c r="A205" s="21" t="b">
        <v>0</v>
      </c>
    </row>
    <row r="206" ht="15.75" customHeight="1">
      <c r="A206" s="21" t="b">
        <v>0</v>
      </c>
    </row>
    <row r="207" ht="15.75" customHeight="1">
      <c r="A207" s="21" t="b">
        <v>0</v>
      </c>
    </row>
    <row r="208" ht="15.75" customHeight="1">
      <c r="A208" s="21" t="b">
        <v>0</v>
      </c>
    </row>
    <row r="209" ht="15.75" customHeight="1">
      <c r="A209" s="21" t="b">
        <v>0</v>
      </c>
    </row>
    <row r="210" ht="15.75" customHeight="1">
      <c r="A210" s="21" t="b">
        <v>0</v>
      </c>
    </row>
    <row r="211" ht="15.75" customHeight="1">
      <c r="A211" s="21" t="b">
        <v>0</v>
      </c>
    </row>
    <row r="212" ht="15.75" customHeight="1">
      <c r="A212" s="21" t="b">
        <v>0</v>
      </c>
    </row>
    <row r="213" ht="15.75" customHeight="1">
      <c r="A213" s="21" t="b">
        <v>0</v>
      </c>
    </row>
    <row r="214" ht="15.75" customHeight="1">
      <c r="A214" s="21" t="b">
        <v>0</v>
      </c>
    </row>
    <row r="215" ht="15.75" customHeight="1">
      <c r="A215" s="21" t="b">
        <v>0</v>
      </c>
    </row>
    <row r="216" ht="15.75" customHeight="1">
      <c r="A216" s="21" t="b">
        <v>0</v>
      </c>
    </row>
    <row r="217" ht="15.75" customHeight="1">
      <c r="A217" s="21" t="b">
        <v>0</v>
      </c>
    </row>
    <row r="218" ht="15.75" customHeight="1">
      <c r="A218" s="21" t="b">
        <v>0</v>
      </c>
    </row>
    <row r="219" ht="15.75" customHeight="1">
      <c r="A219" s="21" t="b">
        <v>0</v>
      </c>
    </row>
    <row r="220" ht="15.75" customHeight="1">
      <c r="A220" s="21" t="b">
        <v>0</v>
      </c>
    </row>
    <row r="221" ht="15.75" customHeight="1">
      <c r="A221" s="21" t="b">
        <v>0</v>
      </c>
    </row>
    <row r="222" ht="15.75" customHeight="1">
      <c r="A222" s="21" t="b">
        <v>0</v>
      </c>
    </row>
    <row r="223" ht="15.75" customHeight="1">
      <c r="A223" s="21" t="b">
        <v>0</v>
      </c>
    </row>
    <row r="224" ht="15.75" customHeight="1">
      <c r="A224" s="21" t="b">
        <v>0</v>
      </c>
    </row>
    <row r="225" ht="15.75" customHeight="1">
      <c r="A225" s="21" t="b">
        <v>0</v>
      </c>
    </row>
    <row r="226" ht="15.75" customHeight="1">
      <c r="A226" s="21" t="b">
        <v>0</v>
      </c>
    </row>
    <row r="227" ht="15.75" customHeight="1">
      <c r="A227" s="21" t="b">
        <v>0</v>
      </c>
    </row>
    <row r="228" ht="15.75" customHeight="1">
      <c r="A228" s="21" t="b">
        <v>0</v>
      </c>
    </row>
    <row r="229" ht="15.75" customHeight="1">
      <c r="A229" s="21" t="b">
        <v>0</v>
      </c>
    </row>
    <row r="230" ht="15.75" customHeight="1">
      <c r="A230" s="21" t="b">
        <v>0</v>
      </c>
    </row>
    <row r="231" ht="15.75" customHeight="1">
      <c r="A231" s="21" t="b">
        <v>0</v>
      </c>
    </row>
    <row r="232" ht="15.75" customHeight="1">
      <c r="A232" s="21" t="b">
        <v>0</v>
      </c>
    </row>
    <row r="233" ht="15.75" customHeight="1">
      <c r="A233" s="21" t="b">
        <v>0</v>
      </c>
    </row>
    <row r="234" ht="15.75" customHeight="1">
      <c r="A234" s="21" t="b">
        <v>0</v>
      </c>
    </row>
    <row r="235" ht="15.75" customHeight="1">
      <c r="A235" s="21" t="b">
        <v>0</v>
      </c>
    </row>
    <row r="236" ht="15.75" customHeight="1">
      <c r="A236" s="21" t="b">
        <v>0</v>
      </c>
    </row>
    <row r="237" ht="15.75" customHeight="1">
      <c r="A237" s="21" t="b">
        <v>0</v>
      </c>
    </row>
    <row r="238" ht="15.75" customHeight="1">
      <c r="A238" s="21" t="b">
        <v>0</v>
      </c>
    </row>
    <row r="239" ht="15.75" customHeight="1">
      <c r="A239" s="21" t="b">
        <v>0</v>
      </c>
    </row>
    <row r="240" ht="15.75" customHeight="1">
      <c r="A240" s="21" t="b">
        <v>0</v>
      </c>
    </row>
    <row r="241" ht="15.75" customHeight="1">
      <c r="A241" s="21" t="b">
        <v>0</v>
      </c>
    </row>
    <row r="242" ht="15.75" customHeight="1">
      <c r="A242" s="21" t="b">
        <v>0</v>
      </c>
    </row>
    <row r="243" ht="15.75" customHeight="1">
      <c r="A243" s="21" t="b">
        <v>0</v>
      </c>
    </row>
    <row r="244" ht="15.75" customHeight="1">
      <c r="A244" s="21" t="b">
        <v>0</v>
      </c>
    </row>
    <row r="245" ht="15.75" customHeight="1">
      <c r="A245" s="21" t="b">
        <v>0</v>
      </c>
    </row>
    <row r="246" ht="15.75" customHeight="1">
      <c r="A246" s="21" t="b">
        <v>0</v>
      </c>
    </row>
    <row r="247" ht="15.75" customHeight="1">
      <c r="A247" s="21" t="b">
        <v>0</v>
      </c>
    </row>
    <row r="248" ht="15.75" customHeight="1">
      <c r="A248" s="21" t="b">
        <v>0</v>
      </c>
    </row>
    <row r="249" ht="15.75" customHeight="1">
      <c r="A249" s="21" t="b">
        <v>0</v>
      </c>
    </row>
    <row r="250" ht="15.75" customHeight="1">
      <c r="A250" s="21" t="b">
        <v>0</v>
      </c>
    </row>
    <row r="251" ht="15.75" customHeight="1">
      <c r="A251" s="21" t="b">
        <v>0</v>
      </c>
    </row>
    <row r="252" ht="15.75" customHeight="1">
      <c r="A252" s="21" t="b">
        <v>0</v>
      </c>
    </row>
    <row r="253" ht="15.75" customHeight="1">
      <c r="A253" s="21" t="b">
        <v>0</v>
      </c>
    </row>
    <row r="254" ht="15.75" customHeight="1">
      <c r="A254" s="21" t="b">
        <v>0</v>
      </c>
    </row>
    <row r="255" ht="15.75" customHeight="1">
      <c r="A255" s="21" t="b">
        <v>0</v>
      </c>
    </row>
    <row r="256" ht="15.75" customHeight="1">
      <c r="A256" s="21" t="b">
        <v>0</v>
      </c>
    </row>
    <row r="257" ht="15.75" customHeight="1">
      <c r="A257" s="21" t="b">
        <v>0</v>
      </c>
    </row>
    <row r="258" ht="15.75" customHeight="1">
      <c r="A258" s="21" t="b">
        <v>0</v>
      </c>
    </row>
    <row r="259" ht="15.75" customHeight="1">
      <c r="A259" s="21" t="b">
        <v>0</v>
      </c>
    </row>
    <row r="260" ht="15.75" customHeight="1">
      <c r="A260" s="21" t="b">
        <v>0</v>
      </c>
    </row>
    <row r="261" ht="15.75" customHeight="1">
      <c r="A261" s="21" t="b">
        <v>0</v>
      </c>
    </row>
    <row r="262" ht="15.75" customHeight="1">
      <c r="A262" s="21" t="b">
        <v>0</v>
      </c>
    </row>
    <row r="263" ht="15.75" customHeight="1">
      <c r="A263" s="21" t="b">
        <v>0</v>
      </c>
    </row>
    <row r="264" ht="15.75" customHeight="1">
      <c r="A264" s="21" t="b">
        <v>0</v>
      </c>
    </row>
    <row r="265" ht="15.75" customHeight="1">
      <c r="A265" s="21" t="b">
        <v>0</v>
      </c>
    </row>
    <row r="266" ht="15.75" customHeight="1">
      <c r="A266" s="21" t="b">
        <v>0</v>
      </c>
    </row>
    <row r="267" ht="15.75" customHeight="1">
      <c r="A267" s="21" t="b">
        <v>0</v>
      </c>
    </row>
    <row r="268" ht="15.75" customHeight="1">
      <c r="A268" s="21" t="b">
        <v>0</v>
      </c>
    </row>
    <row r="269" ht="15.75" customHeight="1">
      <c r="A269" s="21" t="b">
        <v>0</v>
      </c>
    </row>
    <row r="270" ht="15.75" customHeight="1">
      <c r="A270" s="21" t="b">
        <v>0</v>
      </c>
    </row>
    <row r="271" ht="15.75" customHeight="1">
      <c r="A271" s="21" t="b">
        <v>0</v>
      </c>
    </row>
    <row r="272" ht="15.75" customHeight="1">
      <c r="A272" s="21" t="b">
        <v>0</v>
      </c>
    </row>
    <row r="273" ht="15.75" customHeight="1">
      <c r="A273" s="21" t="b">
        <v>0</v>
      </c>
    </row>
    <row r="274" ht="15.75" customHeight="1">
      <c r="A274" s="21" t="b">
        <v>0</v>
      </c>
    </row>
    <row r="275" ht="15.75" customHeight="1">
      <c r="A275" s="21" t="b">
        <v>0</v>
      </c>
    </row>
    <row r="276" ht="15.75" customHeight="1">
      <c r="A276" s="21" t="b">
        <v>0</v>
      </c>
    </row>
    <row r="277" ht="15.75" customHeight="1">
      <c r="A277" s="21" t="b">
        <v>0</v>
      </c>
    </row>
    <row r="278" ht="15.75" customHeight="1">
      <c r="A278" s="21" t="b">
        <v>0</v>
      </c>
    </row>
    <row r="279" ht="15.75" customHeight="1">
      <c r="A279" s="21" t="b">
        <v>0</v>
      </c>
    </row>
    <row r="280" ht="15.75" customHeight="1">
      <c r="A280" s="21" t="b">
        <v>0</v>
      </c>
    </row>
    <row r="281" ht="15.75" customHeight="1">
      <c r="A281" s="21" t="b">
        <v>0</v>
      </c>
    </row>
    <row r="282" ht="15.75" customHeight="1">
      <c r="A282" s="21" t="b">
        <v>0</v>
      </c>
    </row>
    <row r="283" ht="15.75" customHeight="1">
      <c r="A283" s="21" t="b">
        <v>0</v>
      </c>
    </row>
    <row r="284" ht="15.75" customHeight="1">
      <c r="A284" s="21" t="b">
        <v>0</v>
      </c>
    </row>
    <row r="285" ht="15.75" customHeight="1">
      <c r="A285" s="21" t="b">
        <v>0</v>
      </c>
    </row>
    <row r="286" ht="15.75" customHeight="1">
      <c r="A286" s="21" t="b">
        <v>0</v>
      </c>
    </row>
    <row r="287" ht="15.75" customHeight="1">
      <c r="A287" s="21" t="b">
        <v>0</v>
      </c>
    </row>
    <row r="288" ht="15.75" customHeight="1">
      <c r="A288" s="21" t="b">
        <v>0</v>
      </c>
    </row>
    <row r="289" ht="15.75" customHeight="1">
      <c r="A289" s="21" t="b">
        <v>0</v>
      </c>
    </row>
    <row r="290" ht="15.75" customHeight="1">
      <c r="A290" s="21" t="b">
        <v>0</v>
      </c>
    </row>
    <row r="291" ht="15.75" customHeight="1">
      <c r="A291" s="21" t="b">
        <v>0</v>
      </c>
    </row>
    <row r="292" ht="15.75" customHeight="1">
      <c r="A292" s="21" t="b">
        <v>0</v>
      </c>
    </row>
    <row r="293" ht="15.75" customHeight="1">
      <c r="A293" s="21" t="b">
        <v>0</v>
      </c>
    </row>
    <row r="294" ht="15.75" customHeight="1">
      <c r="A294" s="21" t="b">
        <v>0</v>
      </c>
    </row>
    <row r="295" ht="15.75" customHeight="1">
      <c r="A295" s="21" t="b">
        <v>0</v>
      </c>
    </row>
    <row r="296" ht="15.75" customHeight="1">
      <c r="A296" s="21" t="b">
        <v>0</v>
      </c>
    </row>
    <row r="297" ht="15.75" customHeight="1">
      <c r="A297" s="21" t="b">
        <v>0</v>
      </c>
    </row>
    <row r="298" ht="15.75" customHeight="1">
      <c r="A298" s="21" t="b">
        <v>0</v>
      </c>
    </row>
    <row r="299" ht="15.75" customHeight="1">
      <c r="A299" s="21" t="b">
        <v>0</v>
      </c>
    </row>
    <row r="300" ht="15.75" customHeight="1">
      <c r="A300" s="21" t="b">
        <v>0</v>
      </c>
    </row>
    <row r="301" ht="15.75" customHeight="1">
      <c r="A301" s="21" t="b">
        <v>0</v>
      </c>
    </row>
    <row r="302" ht="15.75" customHeight="1">
      <c r="A302" s="21" t="b">
        <v>0</v>
      </c>
    </row>
    <row r="303" ht="15.75" customHeight="1">
      <c r="A303" s="21" t="b">
        <v>0</v>
      </c>
    </row>
    <row r="304" ht="15.75" customHeight="1">
      <c r="A304" s="21" t="b">
        <v>0</v>
      </c>
    </row>
    <row r="305" ht="15.75" customHeight="1">
      <c r="A305" s="21" t="b">
        <v>0</v>
      </c>
    </row>
    <row r="306" ht="15.75" customHeight="1">
      <c r="A306" s="21" t="b">
        <v>0</v>
      </c>
    </row>
    <row r="307" ht="15.75" customHeight="1">
      <c r="A307" s="21" t="b">
        <v>0</v>
      </c>
    </row>
    <row r="308" ht="15.75" customHeight="1">
      <c r="A308" s="21" t="b">
        <v>0</v>
      </c>
    </row>
    <row r="309" ht="15.75" customHeight="1">
      <c r="A309" s="21" t="b">
        <v>0</v>
      </c>
    </row>
    <row r="310" ht="15.75" customHeight="1">
      <c r="A310" s="21" t="b">
        <v>0</v>
      </c>
    </row>
    <row r="311" ht="15.75" customHeight="1">
      <c r="A311" s="21" t="b">
        <v>0</v>
      </c>
    </row>
    <row r="312" ht="15.75" customHeight="1">
      <c r="A312" s="21" t="b">
        <v>0</v>
      </c>
    </row>
    <row r="313" ht="15.75" customHeight="1">
      <c r="A313" s="21" t="b">
        <v>0</v>
      </c>
    </row>
    <row r="314" ht="15.75" customHeight="1">
      <c r="A314" s="21" t="b">
        <v>0</v>
      </c>
    </row>
    <row r="315" ht="15.75" customHeight="1">
      <c r="A315" s="21" t="b">
        <v>0</v>
      </c>
    </row>
    <row r="316" ht="15.75" customHeight="1">
      <c r="A316" s="21" t="b">
        <v>0</v>
      </c>
    </row>
    <row r="317" ht="15.75" customHeight="1">
      <c r="A317" s="21" t="b">
        <v>0</v>
      </c>
    </row>
    <row r="318" ht="15.75" customHeight="1">
      <c r="A318" s="21" t="b">
        <v>0</v>
      </c>
    </row>
    <row r="319" ht="15.75" customHeight="1">
      <c r="A319" s="21" t="b">
        <v>0</v>
      </c>
    </row>
    <row r="320" ht="15.75" customHeight="1">
      <c r="A320" s="21" t="b">
        <v>0</v>
      </c>
    </row>
    <row r="321" ht="15.75" customHeight="1">
      <c r="A321" s="21" t="b">
        <v>0</v>
      </c>
    </row>
    <row r="322" ht="15.75" customHeight="1">
      <c r="A322" s="21" t="b">
        <v>0</v>
      </c>
    </row>
    <row r="323" ht="15.75" customHeight="1">
      <c r="A323" s="21" t="b">
        <v>0</v>
      </c>
    </row>
    <row r="324" ht="15.75" customHeight="1">
      <c r="A324" s="21" t="b">
        <v>0</v>
      </c>
    </row>
    <row r="325" ht="15.75" customHeight="1">
      <c r="A325" s="21" t="b">
        <v>0</v>
      </c>
    </row>
    <row r="326" ht="15.75" customHeight="1">
      <c r="A326" s="21" t="b">
        <v>0</v>
      </c>
    </row>
    <row r="327" ht="15.75" customHeight="1">
      <c r="A327" s="21" t="b">
        <v>0</v>
      </c>
    </row>
    <row r="328" ht="15.75" customHeight="1">
      <c r="A328" s="21" t="b">
        <v>0</v>
      </c>
    </row>
    <row r="329" ht="15.75" customHeight="1">
      <c r="A329" s="21" t="b">
        <v>0</v>
      </c>
    </row>
    <row r="330" ht="15.75" customHeight="1">
      <c r="A330" s="21" t="b">
        <v>0</v>
      </c>
    </row>
    <row r="331" ht="15.75" customHeight="1">
      <c r="A331" s="21" t="b">
        <v>0</v>
      </c>
    </row>
    <row r="332" ht="15.75" customHeight="1">
      <c r="A332" s="21" t="b">
        <v>0</v>
      </c>
    </row>
    <row r="333" ht="15.75" customHeight="1">
      <c r="A333" s="21" t="b">
        <v>0</v>
      </c>
    </row>
    <row r="334" ht="15.75" customHeight="1">
      <c r="A334" s="21" t="b">
        <v>0</v>
      </c>
    </row>
    <row r="335" ht="15.75" customHeight="1">
      <c r="A335" s="21" t="b">
        <v>0</v>
      </c>
    </row>
    <row r="336" ht="15.75" customHeight="1">
      <c r="A336" s="21" t="b">
        <v>0</v>
      </c>
    </row>
    <row r="337" ht="15.75" customHeight="1">
      <c r="A337" s="21" t="b">
        <v>0</v>
      </c>
    </row>
    <row r="338" ht="15.75" customHeight="1">
      <c r="A338" s="21" t="b">
        <v>0</v>
      </c>
    </row>
    <row r="339" ht="15.75" customHeight="1">
      <c r="A339" s="21" t="b">
        <v>0</v>
      </c>
    </row>
    <row r="340" ht="15.75" customHeight="1">
      <c r="A340" s="21" t="b">
        <v>0</v>
      </c>
    </row>
    <row r="341" ht="15.75" customHeight="1">
      <c r="A341" s="21" t="b">
        <v>0</v>
      </c>
    </row>
    <row r="342" ht="15.75" customHeight="1">
      <c r="A342" s="21" t="b">
        <v>0</v>
      </c>
    </row>
    <row r="343" ht="15.75" customHeight="1">
      <c r="A343" s="21" t="b">
        <v>0</v>
      </c>
    </row>
    <row r="344" ht="15.75" customHeight="1">
      <c r="A344" s="21" t="b">
        <v>0</v>
      </c>
    </row>
    <row r="345" ht="15.75" customHeight="1">
      <c r="A345" s="21" t="b">
        <v>0</v>
      </c>
    </row>
    <row r="346" ht="15.75" customHeight="1">
      <c r="A346" s="21" t="b">
        <v>0</v>
      </c>
    </row>
    <row r="347" ht="15.75" customHeight="1">
      <c r="A347" s="21" t="b">
        <v>0</v>
      </c>
    </row>
    <row r="348" ht="15.75" customHeight="1">
      <c r="A348" s="21" t="b">
        <v>0</v>
      </c>
    </row>
    <row r="349" ht="15.75" customHeight="1">
      <c r="A349" s="21" t="b">
        <v>0</v>
      </c>
    </row>
    <row r="350" ht="15.75" customHeight="1">
      <c r="A350" s="21" t="b">
        <v>0</v>
      </c>
    </row>
    <row r="351" ht="15.75" customHeight="1">
      <c r="A351" s="21" t="b">
        <v>0</v>
      </c>
    </row>
    <row r="352" ht="15.75" customHeight="1">
      <c r="A352" s="21" t="b">
        <v>0</v>
      </c>
    </row>
    <row r="353" ht="15.75" customHeight="1">
      <c r="A353" s="21" t="b">
        <v>0</v>
      </c>
    </row>
    <row r="354" ht="15.75" customHeight="1">
      <c r="A354" s="21" t="b">
        <v>0</v>
      </c>
    </row>
    <row r="355" ht="15.75" customHeight="1">
      <c r="A355" s="21" t="b">
        <v>0</v>
      </c>
    </row>
    <row r="356" ht="15.75" customHeight="1">
      <c r="A356" s="21" t="b">
        <v>0</v>
      </c>
    </row>
    <row r="357" ht="15.75" customHeight="1">
      <c r="A357" s="21" t="b">
        <v>0</v>
      </c>
    </row>
    <row r="358" ht="15.75" customHeight="1">
      <c r="A358" s="21" t="b">
        <v>0</v>
      </c>
    </row>
    <row r="359" ht="15.75" customHeight="1">
      <c r="A359" s="21" t="b">
        <v>0</v>
      </c>
    </row>
    <row r="360" ht="15.75" customHeight="1">
      <c r="A360" s="21" t="b">
        <v>0</v>
      </c>
    </row>
    <row r="361" ht="15.75" customHeight="1">
      <c r="A361" s="21" t="b">
        <v>0</v>
      </c>
    </row>
    <row r="362" ht="15.75" customHeight="1">
      <c r="A362" s="21" t="b">
        <v>0</v>
      </c>
    </row>
    <row r="363" ht="15.75" customHeight="1">
      <c r="A363" s="21" t="b">
        <v>0</v>
      </c>
    </row>
    <row r="364" ht="15.75" customHeight="1">
      <c r="A364" s="21" t="b">
        <v>0</v>
      </c>
    </row>
    <row r="365" ht="15.75" customHeight="1">
      <c r="A365" s="21" t="b">
        <v>0</v>
      </c>
    </row>
    <row r="366" ht="15.75" customHeight="1">
      <c r="A366" s="21" t="b">
        <v>0</v>
      </c>
    </row>
    <row r="367" ht="15.75" customHeight="1">
      <c r="A367" s="21" t="b">
        <v>0</v>
      </c>
    </row>
    <row r="368" ht="15.75" customHeight="1">
      <c r="A368" s="21" t="b">
        <v>0</v>
      </c>
    </row>
    <row r="369" ht="15.75" customHeight="1">
      <c r="A369" s="21" t="b">
        <v>0</v>
      </c>
    </row>
    <row r="370" ht="15.75" customHeight="1">
      <c r="A370" s="21" t="b">
        <v>0</v>
      </c>
    </row>
    <row r="371" ht="15.75" customHeight="1">
      <c r="A371" s="21" t="b">
        <v>0</v>
      </c>
    </row>
    <row r="372" ht="15.75" customHeight="1">
      <c r="A372" s="21" t="b">
        <v>0</v>
      </c>
    </row>
    <row r="373" ht="15.75" customHeight="1">
      <c r="A373" s="21" t="b">
        <v>0</v>
      </c>
    </row>
    <row r="374" ht="15.75" customHeight="1">
      <c r="A374" s="21" t="b">
        <v>0</v>
      </c>
    </row>
    <row r="375" ht="15.75" customHeight="1">
      <c r="A375" s="21" t="b">
        <v>0</v>
      </c>
    </row>
    <row r="376" ht="15.75" customHeight="1">
      <c r="A376" s="21" t="b">
        <v>0</v>
      </c>
    </row>
    <row r="377" ht="15.75" customHeight="1">
      <c r="A377" s="21" t="b">
        <v>0</v>
      </c>
    </row>
    <row r="378" ht="15.75" customHeight="1">
      <c r="A378" s="21" t="b">
        <v>0</v>
      </c>
    </row>
    <row r="379" ht="15.75" customHeight="1">
      <c r="A379" s="21" t="b">
        <v>0</v>
      </c>
    </row>
    <row r="380" ht="15.75" customHeight="1">
      <c r="A380" s="21" t="b">
        <v>0</v>
      </c>
    </row>
    <row r="381" ht="15.75" customHeight="1">
      <c r="A381" s="21" t="b">
        <v>0</v>
      </c>
    </row>
    <row r="382" ht="15.75" customHeight="1">
      <c r="A382" s="21" t="b">
        <v>0</v>
      </c>
    </row>
    <row r="383" ht="15.75" customHeight="1">
      <c r="A383" s="21" t="b">
        <v>0</v>
      </c>
    </row>
    <row r="384" ht="15.75" customHeight="1">
      <c r="A384" s="21" t="b">
        <v>0</v>
      </c>
    </row>
    <row r="385" ht="15.75" customHeight="1">
      <c r="A385" s="21" t="b">
        <v>0</v>
      </c>
    </row>
    <row r="386" ht="15.75" customHeight="1">
      <c r="A386" s="21" t="b">
        <v>0</v>
      </c>
    </row>
    <row r="387" ht="15.75" customHeight="1">
      <c r="A387" s="21" t="b">
        <v>0</v>
      </c>
    </row>
    <row r="388" ht="15.75" customHeight="1">
      <c r="A388" s="21" t="b">
        <v>0</v>
      </c>
    </row>
    <row r="389" ht="15.75" customHeight="1">
      <c r="A389" s="21" t="b">
        <v>0</v>
      </c>
    </row>
    <row r="390" ht="15.75" customHeight="1">
      <c r="A390" s="21" t="b">
        <v>0</v>
      </c>
    </row>
    <row r="391" ht="15.75" customHeight="1">
      <c r="A391" s="21" t="b">
        <v>0</v>
      </c>
    </row>
    <row r="392" ht="15.75" customHeight="1">
      <c r="A392" s="21" t="b">
        <v>0</v>
      </c>
    </row>
    <row r="393" ht="15.75" customHeight="1">
      <c r="A393" s="21" t="b">
        <v>0</v>
      </c>
    </row>
    <row r="394" ht="15.75" customHeight="1">
      <c r="A394" s="21" t="b">
        <v>0</v>
      </c>
    </row>
    <row r="395" ht="15.75" customHeight="1">
      <c r="A395" s="21" t="b">
        <v>0</v>
      </c>
    </row>
    <row r="396" ht="15.75" customHeight="1">
      <c r="A396" s="21" t="b">
        <v>0</v>
      </c>
    </row>
    <row r="397" ht="15.75" customHeight="1">
      <c r="A397" s="21" t="b">
        <v>0</v>
      </c>
    </row>
    <row r="398" ht="15.75" customHeight="1">
      <c r="A398" s="21" t="b">
        <v>0</v>
      </c>
    </row>
    <row r="399" ht="15.75" customHeight="1">
      <c r="A399" s="21" t="b">
        <v>0</v>
      </c>
    </row>
    <row r="400" ht="15.75" customHeight="1">
      <c r="A400" s="21" t="b">
        <v>0</v>
      </c>
    </row>
    <row r="401" ht="15.75" customHeight="1">
      <c r="A401" s="21" t="b">
        <v>0</v>
      </c>
    </row>
    <row r="402" ht="15.75" customHeight="1">
      <c r="A402" s="21" t="b">
        <v>0</v>
      </c>
    </row>
    <row r="403" ht="15.75" customHeight="1">
      <c r="A403" s="21" t="b">
        <v>0</v>
      </c>
    </row>
    <row r="404" ht="15.75" customHeight="1">
      <c r="A404" s="21" t="b">
        <v>0</v>
      </c>
    </row>
    <row r="405" ht="15.75" customHeight="1">
      <c r="A405" s="21" t="b">
        <v>0</v>
      </c>
    </row>
    <row r="406" ht="15.75" customHeight="1">
      <c r="A406" s="21" t="b">
        <v>0</v>
      </c>
    </row>
    <row r="407" ht="15.75" customHeight="1">
      <c r="A407" s="21" t="b">
        <v>0</v>
      </c>
    </row>
    <row r="408" ht="15.75" customHeight="1">
      <c r="A408" s="21" t="b">
        <v>0</v>
      </c>
    </row>
    <row r="409" ht="15.75" customHeight="1">
      <c r="A409" s="21" t="b">
        <v>0</v>
      </c>
    </row>
    <row r="410" ht="15.75" customHeight="1">
      <c r="A410" s="21" t="b">
        <v>0</v>
      </c>
    </row>
    <row r="411" ht="15.75" customHeight="1">
      <c r="A411" s="21" t="b">
        <v>0</v>
      </c>
    </row>
    <row r="412" ht="15.75" customHeight="1">
      <c r="A412" s="21" t="b">
        <v>0</v>
      </c>
    </row>
    <row r="413" ht="15.75" customHeight="1">
      <c r="A413" s="21" t="b">
        <v>0</v>
      </c>
    </row>
    <row r="414" ht="15.75" customHeight="1">
      <c r="A414" s="21" t="b">
        <v>0</v>
      </c>
    </row>
    <row r="415" ht="15.75" customHeight="1">
      <c r="A415" s="21" t="b">
        <v>0</v>
      </c>
    </row>
    <row r="416" ht="15.75" customHeight="1">
      <c r="A416" s="21" t="b">
        <v>0</v>
      </c>
    </row>
    <row r="417" ht="15.75" customHeight="1">
      <c r="A417" s="21" t="b">
        <v>0</v>
      </c>
    </row>
    <row r="418" ht="15.75" customHeight="1">
      <c r="A418" s="21" t="b">
        <v>0</v>
      </c>
    </row>
    <row r="419" ht="15.75" customHeight="1">
      <c r="A419" s="21" t="b">
        <v>0</v>
      </c>
    </row>
    <row r="420" ht="15.75" customHeight="1">
      <c r="A420" s="21" t="b">
        <v>0</v>
      </c>
    </row>
    <row r="421" ht="15.75" customHeight="1">
      <c r="A421" s="21" t="b">
        <v>0</v>
      </c>
    </row>
    <row r="422" ht="15.75" customHeight="1">
      <c r="A422" s="21" t="b">
        <v>0</v>
      </c>
    </row>
    <row r="423" ht="15.75" customHeight="1">
      <c r="A423" s="21" t="b">
        <v>0</v>
      </c>
    </row>
    <row r="424" ht="15.75" customHeight="1">
      <c r="A424" s="21" t="b">
        <v>0</v>
      </c>
    </row>
    <row r="425" ht="15.75" customHeight="1">
      <c r="A425" s="21" t="b">
        <v>0</v>
      </c>
    </row>
    <row r="426" ht="15.75" customHeight="1">
      <c r="A426" s="21" t="b">
        <v>0</v>
      </c>
    </row>
    <row r="427" ht="15.75" customHeight="1">
      <c r="A427" s="21" t="b">
        <v>0</v>
      </c>
    </row>
    <row r="428" ht="15.75" customHeight="1">
      <c r="A428" s="21" t="b">
        <v>0</v>
      </c>
    </row>
    <row r="429" ht="15.75" customHeight="1">
      <c r="A429" s="21" t="b">
        <v>0</v>
      </c>
    </row>
    <row r="430" ht="15.75" customHeight="1">
      <c r="A430" s="21" t="b">
        <v>0</v>
      </c>
    </row>
    <row r="431" ht="15.75" customHeight="1">
      <c r="A431" s="21" t="b">
        <v>0</v>
      </c>
    </row>
    <row r="432" ht="15.75" customHeight="1">
      <c r="A432" s="21" t="b">
        <v>0</v>
      </c>
    </row>
    <row r="433" ht="15.75" customHeight="1">
      <c r="A433" s="21" t="b">
        <v>0</v>
      </c>
    </row>
    <row r="434" ht="15.75" customHeight="1">
      <c r="A434" s="21" t="b">
        <v>0</v>
      </c>
    </row>
    <row r="435" ht="15.75" customHeight="1">
      <c r="A435" s="21" t="b">
        <v>0</v>
      </c>
    </row>
    <row r="436" ht="15.75" customHeight="1">
      <c r="A436" s="21" t="b">
        <v>0</v>
      </c>
    </row>
    <row r="437" ht="15.75" customHeight="1">
      <c r="A437" s="21" t="b">
        <v>0</v>
      </c>
    </row>
    <row r="438" ht="15.75" customHeight="1">
      <c r="A438" s="21" t="b">
        <v>0</v>
      </c>
    </row>
    <row r="439" ht="15.75" customHeight="1">
      <c r="A439" s="21" t="b">
        <v>0</v>
      </c>
    </row>
    <row r="440" ht="15.75" customHeight="1">
      <c r="A440" s="21" t="b">
        <v>0</v>
      </c>
    </row>
    <row r="441" ht="15.75" customHeight="1">
      <c r="A441" s="21" t="b">
        <v>0</v>
      </c>
    </row>
    <row r="442" ht="15.75" customHeight="1">
      <c r="A442" s="21" t="b">
        <v>0</v>
      </c>
    </row>
    <row r="443" ht="15.75" customHeight="1">
      <c r="A443" s="21" t="b">
        <v>0</v>
      </c>
    </row>
    <row r="444" ht="15.75" customHeight="1">
      <c r="A444" s="21" t="b">
        <v>0</v>
      </c>
    </row>
    <row r="445" ht="15.75" customHeight="1">
      <c r="A445" s="21" t="b">
        <v>0</v>
      </c>
    </row>
    <row r="446" ht="15.75" customHeight="1">
      <c r="A446" s="21" t="b">
        <v>0</v>
      </c>
    </row>
    <row r="447" ht="15.75" customHeight="1">
      <c r="A447" s="21" t="b">
        <v>0</v>
      </c>
    </row>
    <row r="448" ht="15.75" customHeight="1">
      <c r="A448" s="21" t="b">
        <v>0</v>
      </c>
    </row>
    <row r="449" ht="15.75" customHeight="1">
      <c r="A449" s="21" t="b">
        <v>0</v>
      </c>
    </row>
    <row r="450" ht="15.75" customHeight="1">
      <c r="A450" s="21" t="b">
        <v>0</v>
      </c>
    </row>
    <row r="451" ht="15.75" customHeight="1">
      <c r="A451" s="21" t="b">
        <v>0</v>
      </c>
    </row>
    <row r="452" ht="15.75" customHeight="1">
      <c r="A452" s="21" t="b">
        <v>0</v>
      </c>
    </row>
    <row r="453" ht="15.75" customHeight="1">
      <c r="A453" s="21" t="b">
        <v>0</v>
      </c>
    </row>
    <row r="454" ht="15.75" customHeight="1">
      <c r="A454" s="21" t="b">
        <v>0</v>
      </c>
    </row>
    <row r="455" ht="15.75" customHeight="1">
      <c r="A455" s="21" t="b">
        <v>0</v>
      </c>
    </row>
    <row r="456" ht="15.75" customHeight="1">
      <c r="A456" s="21" t="b">
        <v>0</v>
      </c>
    </row>
    <row r="457" ht="15.75" customHeight="1">
      <c r="A457" s="21" t="b">
        <v>0</v>
      </c>
    </row>
    <row r="458" ht="15.75" customHeight="1">
      <c r="A458" s="21" t="b">
        <v>0</v>
      </c>
    </row>
    <row r="459" ht="15.75" customHeight="1">
      <c r="A459" s="21" t="b">
        <v>0</v>
      </c>
    </row>
    <row r="460" ht="15.75" customHeight="1">
      <c r="A460" s="21" t="b">
        <v>0</v>
      </c>
    </row>
    <row r="461" ht="15.75" customHeight="1">
      <c r="A461" s="21" t="b">
        <v>0</v>
      </c>
    </row>
    <row r="462" ht="15.75" customHeight="1">
      <c r="A462" s="21" t="b">
        <v>0</v>
      </c>
    </row>
    <row r="463" ht="15.75" customHeight="1">
      <c r="A463" s="21" t="b">
        <v>0</v>
      </c>
    </row>
    <row r="464" ht="15.75" customHeight="1">
      <c r="A464" s="21" t="b">
        <v>0</v>
      </c>
    </row>
    <row r="465" ht="15.75" customHeight="1">
      <c r="A465" s="21" t="b">
        <v>0</v>
      </c>
    </row>
    <row r="466" ht="15.75" customHeight="1">
      <c r="A466" s="21" t="b">
        <v>0</v>
      </c>
    </row>
    <row r="467" ht="15.75" customHeight="1">
      <c r="A467" s="21" t="b">
        <v>0</v>
      </c>
    </row>
    <row r="468" ht="15.75" customHeight="1">
      <c r="A468" s="21" t="b">
        <v>0</v>
      </c>
    </row>
    <row r="469" ht="15.75" customHeight="1">
      <c r="A469" s="21" t="b">
        <v>0</v>
      </c>
    </row>
    <row r="470" ht="15.75" customHeight="1">
      <c r="A470" s="21" t="b">
        <v>0</v>
      </c>
    </row>
    <row r="471" ht="15.75" customHeight="1">
      <c r="A471" s="21" t="b">
        <v>0</v>
      </c>
    </row>
    <row r="472" ht="15.75" customHeight="1">
      <c r="A472" s="21" t="b">
        <v>0</v>
      </c>
    </row>
    <row r="473" ht="15.75" customHeight="1">
      <c r="A473" s="21" t="b">
        <v>0</v>
      </c>
    </row>
    <row r="474" ht="15.75" customHeight="1">
      <c r="A474" s="21" t="b">
        <v>0</v>
      </c>
    </row>
    <row r="475" ht="15.75" customHeight="1">
      <c r="A475" s="21" t="b">
        <v>0</v>
      </c>
    </row>
    <row r="476" ht="15.75" customHeight="1">
      <c r="A476" s="21" t="b">
        <v>0</v>
      </c>
    </row>
    <row r="477" ht="15.75" customHeight="1">
      <c r="A477" s="21" t="b">
        <v>0</v>
      </c>
    </row>
    <row r="478" ht="15.75" customHeight="1">
      <c r="A478" s="21" t="b">
        <v>0</v>
      </c>
    </row>
    <row r="479" ht="15.75" customHeight="1">
      <c r="A479" s="21" t="b">
        <v>0</v>
      </c>
    </row>
    <row r="480" ht="15.75" customHeight="1">
      <c r="A480" s="21" t="b">
        <v>0</v>
      </c>
    </row>
    <row r="481" ht="15.75" customHeight="1">
      <c r="A481" s="21" t="b">
        <v>0</v>
      </c>
    </row>
    <row r="482" ht="15.75" customHeight="1">
      <c r="A482" s="21" t="b">
        <v>0</v>
      </c>
    </row>
    <row r="483" ht="15.75" customHeight="1">
      <c r="A483" s="21" t="b">
        <v>0</v>
      </c>
    </row>
    <row r="484" ht="15.75" customHeight="1">
      <c r="A484" s="21" t="b">
        <v>0</v>
      </c>
    </row>
    <row r="485" ht="15.75" customHeight="1">
      <c r="A485" s="21" t="b">
        <v>0</v>
      </c>
    </row>
    <row r="486" ht="15.75" customHeight="1">
      <c r="A486" s="21" t="b">
        <v>0</v>
      </c>
    </row>
    <row r="487" ht="15.75" customHeight="1">
      <c r="A487" s="21" t="b">
        <v>0</v>
      </c>
    </row>
    <row r="488" ht="15.75" customHeight="1">
      <c r="A488" s="21" t="b">
        <v>0</v>
      </c>
    </row>
    <row r="489" ht="15.75" customHeight="1">
      <c r="A489" s="21" t="b">
        <v>0</v>
      </c>
    </row>
    <row r="490" ht="15.75" customHeight="1">
      <c r="A490" s="21" t="b">
        <v>0</v>
      </c>
    </row>
    <row r="491" ht="15.75" customHeight="1">
      <c r="A491" s="21" t="b">
        <v>0</v>
      </c>
    </row>
    <row r="492" ht="15.75" customHeight="1">
      <c r="A492" s="21" t="b">
        <v>0</v>
      </c>
    </row>
    <row r="493" ht="15.75" customHeight="1">
      <c r="A493" s="21" t="b">
        <v>0</v>
      </c>
    </row>
    <row r="494" ht="15.75" customHeight="1">
      <c r="A494" s="21" t="b">
        <v>0</v>
      </c>
    </row>
    <row r="495" ht="15.75" customHeight="1">
      <c r="A495" s="21" t="b">
        <v>0</v>
      </c>
    </row>
    <row r="496" ht="15.75" customHeight="1">
      <c r="A496" s="21" t="b">
        <v>0</v>
      </c>
    </row>
    <row r="497" ht="15.75" customHeight="1">
      <c r="A497" s="21" t="b">
        <v>0</v>
      </c>
    </row>
    <row r="498" ht="15.75" customHeight="1">
      <c r="A498" s="21" t="b">
        <v>0</v>
      </c>
    </row>
    <row r="499" ht="15.75" customHeight="1">
      <c r="A499" s="21" t="b">
        <v>0</v>
      </c>
    </row>
    <row r="500" ht="15.75" customHeight="1">
      <c r="A500" s="21" t="b">
        <v>0</v>
      </c>
    </row>
    <row r="501" ht="15.75" customHeight="1">
      <c r="A501" s="21" t="b">
        <v>0</v>
      </c>
    </row>
    <row r="502" ht="15.75" customHeight="1">
      <c r="A502" s="21" t="b">
        <v>0</v>
      </c>
    </row>
    <row r="503" ht="15.75" customHeight="1">
      <c r="A503" s="21" t="b">
        <v>0</v>
      </c>
    </row>
    <row r="504" ht="15.75" customHeight="1">
      <c r="A504" s="21" t="b">
        <v>0</v>
      </c>
    </row>
    <row r="505" ht="15.75" customHeight="1">
      <c r="A505" s="21" t="b">
        <v>0</v>
      </c>
    </row>
    <row r="506" ht="15.75" customHeight="1">
      <c r="A506" s="21" t="b">
        <v>0</v>
      </c>
    </row>
    <row r="507" ht="15.75" customHeight="1">
      <c r="A507" s="21" t="b">
        <v>0</v>
      </c>
    </row>
    <row r="508" ht="15.75" customHeight="1">
      <c r="A508" s="21" t="b">
        <v>0</v>
      </c>
    </row>
    <row r="509" ht="15.75" customHeight="1">
      <c r="A509" s="21" t="b">
        <v>0</v>
      </c>
    </row>
    <row r="510" ht="15.75" customHeight="1">
      <c r="A510" s="21" t="b">
        <v>0</v>
      </c>
    </row>
    <row r="511" ht="15.75" customHeight="1">
      <c r="A511" s="21" t="b">
        <v>0</v>
      </c>
    </row>
    <row r="512" ht="15.75" customHeight="1">
      <c r="A512" s="21" t="b">
        <v>0</v>
      </c>
    </row>
    <row r="513" ht="15.75" customHeight="1">
      <c r="A513" s="21" t="b">
        <v>0</v>
      </c>
    </row>
    <row r="514" ht="15.75" customHeight="1">
      <c r="A514" s="21" t="b">
        <v>0</v>
      </c>
    </row>
    <row r="515" ht="15.75" customHeight="1">
      <c r="A515" s="21" t="b">
        <v>0</v>
      </c>
    </row>
    <row r="516" ht="15.75" customHeight="1">
      <c r="A516" s="21" t="b">
        <v>0</v>
      </c>
    </row>
    <row r="517" ht="15.75" customHeight="1">
      <c r="A517" s="21" t="b">
        <v>0</v>
      </c>
    </row>
    <row r="518" ht="15.75" customHeight="1">
      <c r="A518" s="21" t="b">
        <v>0</v>
      </c>
    </row>
    <row r="519" ht="15.75" customHeight="1">
      <c r="A519" s="21" t="b">
        <v>0</v>
      </c>
    </row>
    <row r="520" ht="15.75" customHeight="1">
      <c r="A520" s="21" t="b">
        <v>0</v>
      </c>
    </row>
    <row r="521" ht="15.75" customHeight="1">
      <c r="A521" s="21" t="b">
        <v>0</v>
      </c>
    </row>
    <row r="522" ht="15.75" customHeight="1">
      <c r="A522" s="21" t="b">
        <v>0</v>
      </c>
    </row>
    <row r="523" ht="15.75" customHeight="1">
      <c r="A523" s="21" t="b">
        <v>0</v>
      </c>
    </row>
    <row r="524" ht="15.75" customHeight="1">
      <c r="A524" s="21" t="b">
        <v>0</v>
      </c>
    </row>
    <row r="525" ht="15.75" customHeight="1">
      <c r="A525" s="21" t="b">
        <v>0</v>
      </c>
    </row>
    <row r="526" ht="15.75" customHeight="1">
      <c r="A526" s="21" t="b">
        <v>0</v>
      </c>
    </row>
    <row r="527" ht="15.75" customHeight="1">
      <c r="A527" s="21" t="b">
        <v>0</v>
      </c>
    </row>
    <row r="528" ht="15.75" customHeight="1">
      <c r="A528" s="21" t="b">
        <v>0</v>
      </c>
    </row>
    <row r="529" ht="15.75" customHeight="1">
      <c r="A529" s="21" t="b">
        <v>0</v>
      </c>
    </row>
    <row r="530" ht="15.75" customHeight="1">
      <c r="A530" s="21" t="b">
        <v>0</v>
      </c>
    </row>
    <row r="531" ht="15.75" customHeight="1">
      <c r="A531" s="21" t="b">
        <v>0</v>
      </c>
    </row>
    <row r="532" ht="15.75" customHeight="1">
      <c r="A532" s="21" t="b">
        <v>0</v>
      </c>
    </row>
    <row r="533" ht="15.75" customHeight="1">
      <c r="A533" s="21" t="b">
        <v>0</v>
      </c>
    </row>
    <row r="534" ht="15.75" customHeight="1">
      <c r="A534" s="21" t="b">
        <v>0</v>
      </c>
    </row>
    <row r="535" ht="15.75" customHeight="1">
      <c r="A535" s="21" t="b">
        <v>0</v>
      </c>
    </row>
    <row r="536" ht="15.75" customHeight="1">
      <c r="A536" s="21" t="b">
        <v>0</v>
      </c>
    </row>
    <row r="537" ht="15.75" customHeight="1">
      <c r="A537" s="21" t="b">
        <v>0</v>
      </c>
    </row>
    <row r="538" ht="15.75" customHeight="1">
      <c r="A538" s="21" t="b">
        <v>0</v>
      </c>
    </row>
    <row r="539" ht="15.75" customHeight="1">
      <c r="A539" s="21" t="b">
        <v>0</v>
      </c>
    </row>
    <row r="540" ht="15.75" customHeight="1">
      <c r="A540" s="21" t="b">
        <v>0</v>
      </c>
    </row>
    <row r="541" ht="15.75" customHeight="1">
      <c r="A541" s="21" t="b">
        <v>0</v>
      </c>
    </row>
    <row r="542" ht="15.75" customHeight="1">
      <c r="A542" s="21" t="b">
        <v>0</v>
      </c>
    </row>
    <row r="543" ht="15.75" customHeight="1">
      <c r="A543" s="21" t="b">
        <v>0</v>
      </c>
    </row>
    <row r="544" ht="15.75" customHeight="1">
      <c r="A544" s="21" t="b">
        <v>0</v>
      </c>
    </row>
    <row r="545" ht="15.75" customHeight="1">
      <c r="A545" s="21" t="b">
        <v>0</v>
      </c>
    </row>
    <row r="546" ht="15.75" customHeight="1">
      <c r="A546" s="21" t="b">
        <v>0</v>
      </c>
    </row>
    <row r="547" ht="15.75" customHeight="1">
      <c r="A547" s="21" t="b">
        <v>0</v>
      </c>
    </row>
    <row r="548" ht="15.75" customHeight="1">
      <c r="A548" s="21" t="b">
        <v>0</v>
      </c>
    </row>
    <row r="549" ht="15.75" customHeight="1">
      <c r="A549" s="21" t="b">
        <v>0</v>
      </c>
    </row>
    <row r="550" ht="15.75" customHeight="1">
      <c r="A550" s="21" t="b">
        <v>0</v>
      </c>
    </row>
    <row r="551" ht="15.75" customHeight="1">
      <c r="A551" s="21" t="b">
        <v>0</v>
      </c>
    </row>
    <row r="552" ht="15.75" customHeight="1">
      <c r="A552" s="21" t="b">
        <v>0</v>
      </c>
    </row>
    <row r="553" ht="15.75" customHeight="1">
      <c r="A553" s="21" t="b">
        <v>0</v>
      </c>
    </row>
    <row r="554" ht="15.75" customHeight="1">
      <c r="A554" s="21" t="b">
        <v>0</v>
      </c>
    </row>
    <row r="555" ht="15.75" customHeight="1">
      <c r="A555" s="21" t="b">
        <v>0</v>
      </c>
    </row>
    <row r="556" ht="15.75" customHeight="1">
      <c r="A556" s="21" t="b">
        <v>0</v>
      </c>
    </row>
    <row r="557" ht="15.75" customHeight="1">
      <c r="A557" s="21" t="b">
        <v>0</v>
      </c>
    </row>
    <row r="558" ht="15.75" customHeight="1">
      <c r="A558" s="21" t="b">
        <v>0</v>
      </c>
    </row>
    <row r="559" ht="15.75" customHeight="1">
      <c r="A559" s="21" t="b">
        <v>0</v>
      </c>
    </row>
    <row r="560" ht="15.75" customHeight="1">
      <c r="A560" s="21" t="b">
        <v>0</v>
      </c>
    </row>
    <row r="561" ht="15.75" customHeight="1">
      <c r="A561" s="21" t="b">
        <v>0</v>
      </c>
    </row>
    <row r="562" ht="15.75" customHeight="1">
      <c r="A562" s="21" t="b">
        <v>0</v>
      </c>
    </row>
    <row r="563" ht="15.75" customHeight="1">
      <c r="A563" s="21" t="b">
        <v>0</v>
      </c>
    </row>
    <row r="564" ht="15.75" customHeight="1">
      <c r="A564" s="21" t="b">
        <v>0</v>
      </c>
    </row>
    <row r="565" ht="15.75" customHeight="1">
      <c r="A565" s="21" t="b">
        <v>0</v>
      </c>
    </row>
    <row r="566" ht="15.75" customHeight="1">
      <c r="A566" s="21" t="b">
        <v>0</v>
      </c>
    </row>
    <row r="567" ht="15.75" customHeight="1">
      <c r="A567" s="21" t="b">
        <v>0</v>
      </c>
    </row>
    <row r="568" ht="15.75" customHeight="1">
      <c r="A568" s="21" t="b">
        <v>0</v>
      </c>
    </row>
    <row r="569" ht="15.75" customHeight="1">
      <c r="A569" s="21" t="b">
        <v>0</v>
      </c>
    </row>
    <row r="570" ht="15.75" customHeight="1">
      <c r="A570" s="21" t="b">
        <v>0</v>
      </c>
    </row>
    <row r="571" ht="15.75" customHeight="1">
      <c r="A571" s="21" t="b">
        <v>0</v>
      </c>
    </row>
    <row r="572" ht="15.75" customHeight="1">
      <c r="A572" s="21" t="b">
        <v>0</v>
      </c>
    </row>
    <row r="573" ht="15.75" customHeight="1">
      <c r="A573" s="21" t="b">
        <v>0</v>
      </c>
    </row>
    <row r="574" ht="15.75" customHeight="1">
      <c r="A574" s="21" t="b">
        <v>0</v>
      </c>
    </row>
    <row r="575" ht="15.75" customHeight="1">
      <c r="A575" s="21" t="b">
        <v>0</v>
      </c>
    </row>
    <row r="576" ht="15.75" customHeight="1">
      <c r="A576" s="21" t="b">
        <v>0</v>
      </c>
    </row>
    <row r="577" ht="15.75" customHeight="1">
      <c r="A577" s="21" t="b">
        <v>0</v>
      </c>
    </row>
    <row r="578" ht="15.75" customHeight="1">
      <c r="A578" s="21" t="b">
        <v>0</v>
      </c>
    </row>
    <row r="579" ht="15.75" customHeight="1">
      <c r="A579" s="21" t="b">
        <v>0</v>
      </c>
    </row>
    <row r="580" ht="15.75" customHeight="1">
      <c r="A580" s="21" t="b">
        <v>0</v>
      </c>
    </row>
    <row r="581" ht="15.75" customHeight="1">
      <c r="A581" s="21" t="b">
        <v>0</v>
      </c>
    </row>
    <row r="582" ht="15.75" customHeight="1">
      <c r="A582" s="21" t="b">
        <v>0</v>
      </c>
    </row>
    <row r="583" ht="15.75" customHeight="1">
      <c r="A583" s="21" t="b">
        <v>0</v>
      </c>
    </row>
    <row r="584" ht="15.75" customHeight="1">
      <c r="A584" s="21" t="b">
        <v>0</v>
      </c>
    </row>
    <row r="585" ht="15.75" customHeight="1">
      <c r="A585" s="21" t="b">
        <v>0</v>
      </c>
    </row>
    <row r="586" ht="15.75" customHeight="1">
      <c r="A586" s="21" t="b">
        <v>0</v>
      </c>
    </row>
    <row r="587" ht="15.75" customHeight="1">
      <c r="A587" s="21" t="b">
        <v>0</v>
      </c>
    </row>
    <row r="588" ht="15.75" customHeight="1">
      <c r="A588" s="21" t="b">
        <v>0</v>
      </c>
    </row>
    <row r="589" ht="15.75" customHeight="1">
      <c r="A589" s="21" t="b">
        <v>0</v>
      </c>
    </row>
    <row r="590" ht="15.75" customHeight="1">
      <c r="A590" s="21" t="b">
        <v>0</v>
      </c>
    </row>
    <row r="591" ht="15.75" customHeight="1">
      <c r="A591" s="21" t="b">
        <v>0</v>
      </c>
    </row>
    <row r="592" ht="15.75" customHeight="1">
      <c r="A592" s="21" t="b">
        <v>0</v>
      </c>
    </row>
    <row r="593" ht="15.75" customHeight="1">
      <c r="A593" s="21" t="b">
        <v>0</v>
      </c>
    </row>
    <row r="594" ht="15.75" customHeight="1">
      <c r="A594" s="21" t="b">
        <v>0</v>
      </c>
    </row>
    <row r="595" ht="15.75" customHeight="1">
      <c r="A595" s="21" t="b">
        <v>0</v>
      </c>
    </row>
    <row r="596" ht="15.75" customHeight="1">
      <c r="A596" s="21" t="b">
        <v>0</v>
      </c>
    </row>
    <row r="597" ht="15.75" customHeight="1">
      <c r="A597" s="21" t="b">
        <v>0</v>
      </c>
    </row>
    <row r="598" ht="15.75" customHeight="1">
      <c r="A598" s="21" t="b">
        <v>0</v>
      </c>
    </row>
    <row r="599" ht="15.75" customHeight="1">
      <c r="A599" s="21" t="b">
        <v>0</v>
      </c>
    </row>
    <row r="600" ht="15.75" customHeight="1">
      <c r="A600" s="21" t="b">
        <v>0</v>
      </c>
    </row>
    <row r="601" ht="15.75" customHeight="1">
      <c r="A601" s="21" t="b">
        <v>0</v>
      </c>
    </row>
    <row r="602" ht="15.75" customHeight="1">
      <c r="A602" s="21" t="b">
        <v>0</v>
      </c>
    </row>
    <row r="603" ht="15.75" customHeight="1">
      <c r="A603" s="21" t="b">
        <v>0</v>
      </c>
    </row>
    <row r="604" ht="15.75" customHeight="1">
      <c r="A604" s="21" t="b">
        <v>0</v>
      </c>
    </row>
    <row r="605" ht="15.75" customHeight="1">
      <c r="A605" s="21" t="b">
        <v>0</v>
      </c>
    </row>
    <row r="606" ht="15.75" customHeight="1">
      <c r="A606" s="21" t="b">
        <v>0</v>
      </c>
    </row>
    <row r="607" ht="15.75" customHeight="1">
      <c r="A607" s="21" t="b">
        <v>0</v>
      </c>
    </row>
    <row r="608" ht="15.75" customHeight="1">
      <c r="A608" s="21" t="b">
        <v>0</v>
      </c>
    </row>
    <row r="609" ht="15.75" customHeight="1">
      <c r="A609" s="21" t="b">
        <v>0</v>
      </c>
    </row>
    <row r="610" ht="15.75" customHeight="1">
      <c r="A610" s="21" t="b">
        <v>0</v>
      </c>
    </row>
    <row r="611" ht="15.75" customHeight="1">
      <c r="A611" s="21" t="b">
        <v>0</v>
      </c>
    </row>
    <row r="612" ht="15.75" customHeight="1">
      <c r="A612" s="21" t="b">
        <v>0</v>
      </c>
    </row>
    <row r="613" ht="15.75" customHeight="1">
      <c r="A613" s="21" t="b">
        <v>0</v>
      </c>
    </row>
    <row r="614" ht="15.75" customHeight="1">
      <c r="A614" s="21" t="b">
        <v>0</v>
      </c>
    </row>
    <row r="615" ht="15.75" customHeight="1">
      <c r="A615" s="21" t="b">
        <v>0</v>
      </c>
    </row>
    <row r="616" ht="15.75" customHeight="1">
      <c r="A616" s="21" t="b">
        <v>0</v>
      </c>
    </row>
    <row r="617" ht="15.75" customHeight="1">
      <c r="A617" s="21" t="b">
        <v>0</v>
      </c>
    </row>
    <row r="618" ht="15.75" customHeight="1">
      <c r="A618" s="21" t="b">
        <v>0</v>
      </c>
    </row>
    <row r="619" ht="15.75" customHeight="1">
      <c r="A619" s="21" t="b">
        <v>0</v>
      </c>
    </row>
    <row r="620" ht="15.75" customHeight="1">
      <c r="A620" s="21" t="b">
        <v>0</v>
      </c>
    </row>
    <row r="621" ht="15.75" customHeight="1">
      <c r="A621" s="21" t="b">
        <v>0</v>
      </c>
    </row>
    <row r="622" ht="15.75" customHeight="1">
      <c r="A622" s="21" t="b">
        <v>0</v>
      </c>
    </row>
    <row r="623" ht="15.75" customHeight="1">
      <c r="A623" s="21" t="b">
        <v>0</v>
      </c>
    </row>
    <row r="624" ht="15.75" customHeight="1">
      <c r="A624" s="21" t="b">
        <v>0</v>
      </c>
    </row>
    <row r="625" ht="15.75" customHeight="1">
      <c r="A625" s="21" t="b">
        <v>0</v>
      </c>
    </row>
    <row r="626" ht="15.75" customHeight="1">
      <c r="A626" s="21" t="b">
        <v>0</v>
      </c>
    </row>
    <row r="627" ht="15.75" customHeight="1">
      <c r="A627" s="21" t="b">
        <v>0</v>
      </c>
    </row>
    <row r="628" ht="15.75" customHeight="1">
      <c r="A628" s="21" t="b">
        <v>0</v>
      </c>
    </row>
    <row r="629" ht="15.75" customHeight="1">
      <c r="A629" s="21" t="b">
        <v>0</v>
      </c>
    </row>
    <row r="630" ht="15.75" customHeight="1">
      <c r="A630" s="21" t="b">
        <v>0</v>
      </c>
    </row>
    <row r="631" ht="15.75" customHeight="1">
      <c r="A631" s="21" t="b">
        <v>0</v>
      </c>
    </row>
    <row r="632" ht="15.75" customHeight="1">
      <c r="A632" s="21" t="b">
        <v>0</v>
      </c>
    </row>
    <row r="633" ht="15.75" customHeight="1">
      <c r="A633" s="21" t="b">
        <v>0</v>
      </c>
    </row>
    <row r="634" ht="15.75" customHeight="1">
      <c r="A634" s="21" t="b">
        <v>0</v>
      </c>
    </row>
    <row r="635" ht="15.75" customHeight="1">
      <c r="A635" s="21" t="b">
        <v>0</v>
      </c>
    </row>
    <row r="636" ht="15.75" customHeight="1">
      <c r="A636" s="21" t="b">
        <v>0</v>
      </c>
    </row>
    <row r="637" ht="15.75" customHeight="1">
      <c r="A637" s="21" t="b">
        <v>0</v>
      </c>
    </row>
    <row r="638" ht="15.75" customHeight="1">
      <c r="A638" s="21" t="b">
        <v>0</v>
      </c>
    </row>
    <row r="639" ht="15.75" customHeight="1">
      <c r="A639" s="21" t="b">
        <v>0</v>
      </c>
    </row>
    <row r="640" ht="15.75" customHeight="1">
      <c r="A640" s="21" t="b">
        <v>0</v>
      </c>
    </row>
    <row r="641" ht="15.75" customHeight="1">
      <c r="A641" s="21" t="b">
        <v>0</v>
      </c>
    </row>
    <row r="642" ht="15.75" customHeight="1">
      <c r="A642" s="21" t="b">
        <v>0</v>
      </c>
    </row>
    <row r="643" ht="15.75" customHeight="1">
      <c r="A643" s="21" t="b">
        <v>0</v>
      </c>
    </row>
    <row r="644" ht="15.75" customHeight="1">
      <c r="A644" s="21" t="b">
        <v>0</v>
      </c>
    </row>
    <row r="645" ht="15.75" customHeight="1">
      <c r="A645" s="21" t="b">
        <v>0</v>
      </c>
    </row>
    <row r="646" ht="15.75" customHeight="1">
      <c r="A646" s="21" t="b">
        <v>0</v>
      </c>
    </row>
    <row r="647" ht="15.75" customHeight="1">
      <c r="A647" s="21" t="b">
        <v>0</v>
      </c>
    </row>
    <row r="648" ht="15.75" customHeight="1">
      <c r="A648" s="21" t="b">
        <v>0</v>
      </c>
    </row>
    <row r="649" ht="15.75" customHeight="1">
      <c r="A649" s="21" t="b">
        <v>0</v>
      </c>
    </row>
    <row r="650" ht="15.75" customHeight="1">
      <c r="A650" s="21" t="b">
        <v>0</v>
      </c>
    </row>
    <row r="651" ht="15.75" customHeight="1">
      <c r="A651" s="21" t="b">
        <v>0</v>
      </c>
    </row>
    <row r="652" ht="15.75" customHeight="1">
      <c r="A652" s="21" t="b">
        <v>0</v>
      </c>
    </row>
    <row r="653" ht="15.75" customHeight="1">
      <c r="A653" s="21" t="b">
        <v>0</v>
      </c>
    </row>
    <row r="654" ht="15.75" customHeight="1">
      <c r="A654" s="21" t="b">
        <v>0</v>
      </c>
    </row>
    <row r="655" ht="15.75" customHeight="1">
      <c r="A655" s="21" t="b">
        <v>0</v>
      </c>
    </row>
    <row r="656" ht="15.75" customHeight="1">
      <c r="A656" s="21" t="b">
        <v>0</v>
      </c>
    </row>
    <row r="657" ht="15.75" customHeight="1">
      <c r="A657" s="21" t="b">
        <v>0</v>
      </c>
    </row>
    <row r="658" ht="15.75" customHeight="1">
      <c r="A658" s="21" t="b">
        <v>0</v>
      </c>
    </row>
    <row r="659" ht="15.75" customHeight="1">
      <c r="A659" s="21" t="b">
        <v>0</v>
      </c>
    </row>
    <row r="660" ht="15.75" customHeight="1">
      <c r="A660" s="21" t="b">
        <v>0</v>
      </c>
    </row>
    <row r="661" ht="15.75" customHeight="1">
      <c r="A661" s="21" t="b">
        <v>0</v>
      </c>
    </row>
    <row r="662" ht="15.75" customHeight="1">
      <c r="A662" s="21" t="b">
        <v>0</v>
      </c>
    </row>
    <row r="663" ht="15.75" customHeight="1">
      <c r="A663" s="21" t="b">
        <v>0</v>
      </c>
    </row>
    <row r="664" ht="15.75" customHeight="1">
      <c r="A664" s="21" t="b">
        <v>0</v>
      </c>
    </row>
    <row r="665" ht="15.75" customHeight="1">
      <c r="A665" s="21" t="b">
        <v>0</v>
      </c>
    </row>
    <row r="666" ht="15.75" customHeight="1">
      <c r="A666" s="21" t="b">
        <v>0</v>
      </c>
    </row>
    <row r="667" ht="15.75" customHeight="1">
      <c r="A667" s="21" t="b">
        <v>0</v>
      </c>
    </row>
    <row r="668" ht="15.75" customHeight="1">
      <c r="A668" s="21" t="b">
        <v>0</v>
      </c>
    </row>
    <row r="669" ht="15.75" customHeight="1">
      <c r="A669" s="21" t="b">
        <v>0</v>
      </c>
    </row>
    <row r="670" ht="15.75" customHeight="1">
      <c r="A670" s="21" t="b">
        <v>0</v>
      </c>
    </row>
    <row r="671" ht="15.75" customHeight="1">
      <c r="A671" s="21" t="b">
        <v>0</v>
      </c>
    </row>
    <row r="672" ht="15.75" customHeight="1">
      <c r="A672" s="21" t="b">
        <v>0</v>
      </c>
    </row>
    <row r="673" ht="15.75" customHeight="1">
      <c r="A673" s="21" t="b">
        <v>0</v>
      </c>
    </row>
    <row r="674" ht="15.75" customHeight="1">
      <c r="A674" s="21" t="b">
        <v>0</v>
      </c>
    </row>
    <row r="675" ht="15.75" customHeight="1">
      <c r="A675" s="21" t="b">
        <v>0</v>
      </c>
    </row>
    <row r="676" ht="15.75" customHeight="1">
      <c r="A676" s="21" t="b">
        <v>0</v>
      </c>
    </row>
    <row r="677" ht="15.75" customHeight="1">
      <c r="A677" s="21" t="b">
        <v>0</v>
      </c>
    </row>
    <row r="678" ht="15.75" customHeight="1">
      <c r="A678" s="21" t="b">
        <v>0</v>
      </c>
    </row>
    <row r="679" ht="15.75" customHeight="1">
      <c r="A679" s="21" t="b">
        <v>0</v>
      </c>
    </row>
    <row r="680" ht="15.75" customHeight="1">
      <c r="A680" s="21" t="b">
        <v>0</v>
      </c>
    </row>
    <row r="681" ht="15.75" customHeight="1">
      <c r="A681" s="21" t="b">
        <v>0</v>
      </c>
    </row>
    <row r="682" ht="15.75" customHeight="1">
      <c r="A682" s="21" t="b">
        <v>0</v>
      </c>
    </row>
    <row r="683" ht="15.75" customHeight="1">
      <c r="A683" s="21" t="b">
        <v>0</v>
      </c>
    </row>
    <row r="684" ht="15.75" customHeight="1">
      <c r="A684" s="21" t="b">
        <v>0</v>
      </c>
    </row>
    <row r="685" ht="15.75" customHeight="1">
      <c r="A685" s="21" t="b">
        <v>0</v>
      </c>
    </row>
    <row r="686" ht="15.75" customHeight="1">
      <c r="A686" s="21" t="b">
        <v>0</v>
      </c>
    </row>
    <row r="687" ht="15.75" customHeight="1">
      <c r="A687" s="21" t="b">
        <v>0</v>
      </c>
    </row>
    <row r="688" ht="15.75" customHeight="1">
      <c r="A688" s="21" t="b">
        <v>0</v>
      </c>
    </row>
    <row r="689" ht="15.75" customHeight="1">
      <c r="A689" s="21" t="b">
        <v>0</v>
      </c>
    </row>
    <row r="690" ht="15.75" customHeight="1">
      <c r="A690" s="21" t="b">
        <v>0</v>
      </c>
    </row>
    <row r="691" ht="15.75" customHeight="1">
      <c r="A691" s="21" t="b">
        <v>0</v>
      </c>
    </row>
    <row r="692" ht="15.75" customHeight="1">
      <c r="A692" s="21" t="b">
        <v>0</v>
      </c>
    </row>
    <row r="693" ht="15.75" customHeight="1">
      <c r="A693" s="21" t="b">
        <v>0</v>
      </c>
    </row>
    <row r="694" ht="15.75" customHeight="1">
      <c r="A694" s="21" t="b">
        <v>0</v>
      </c>
    </row>
    <row r="695" ht="15.75" customHeight="1">
      <c r="A695" s="21" t="b">
        <v>0</v>
      </c>
    </row>
    <row r="696" ht="15.75" customHeight="1">
      <c r="A696" s="21" t="b">
        <v>0</v>
      </c>
    </row>
    <row r="697" ht="15.75" customHeight="1">
      <c r="A697" s="21" t="b">
        <v>0</v>
      </c>
    </row>
    <row r="698" ht="15.75" customHeight="1">
      <c r="A698" s="21" t="b">
        <v>0</v>
      </c>
    </row>
    <row r="699" ht="15.75" customHeight="1">
      <c r="A699" s="21" t="b">
        <v>0</v>
      </c>
    </row>
    <row r="700" ht="15.75" customHeight="1">
      <c r="A700" s="21" t="b">
        <v>0</v>
      </c>
    </row>
    <row r="701" ht="15.75" customHeight="1">
      <c r="A701" s="21" t="b">
        <v>0</v>
      </c>
    </row>
    <row r="702" ht="15.75" customHeight="1">
      <c r="A702" s="21" t="b">
        <v>0</v>
      </c>
    </row>
    <row r="703" ht="15.75" customHeight="1">
      <c r="A703" s="21" t="b">
        <v>0</v>
      </c>
    </row>
    <row r="704" ht="15.75" customHeight="1">
      <c r="A704" s="21" t="b">
        <v>0</v>
      </c>
    </row>
    <row r="705" ht="15.75" customHeight="1">
      <c r="A705" s="21" t="b">
        <v>0</v>
      </c>
    </row>
    <row r="706" ht="15.75" customHeight="1">
      <c r="A706" s="21" t="b">
        <v>0</v>
      </c>
    </row>
    <row r="707" ht="15.75" customHeight="1">
      <c r="A707" s="21" t="b">
        <v>0</v>
      </c>
    </row>
    <row r="708" ht="15.75" customHeight="1">
      <c r="A708" s="21" t="b">
        <v>0</v>
      </c>
    </row>
    <row r="709" ht="15.75" customHeight="1">
      <c r="A709" s="21" t="b">
        <v>0</v>
      </c>
    </row>
    <row r="710" ht="15.75" customHeight="1">
      <c r="A710" s="21" t="b">
        <v>0</v>
      </c>
    </row>
    <row r="711" ht="15.75" customHeight="1">
      <c r="A711" s="21" t="b">
        <v>0</v>
      </c>
    </row>
    <row r="712" ht="15.75" customHeight="1">
      <c r="A712" s="21" t="b">
        <v>0</v>
      </c>
    </row>
    <row r="713" ht="15.75" customHeight="1">
      <c r="A713" s="21" t="b">
        <v>0</v>
      </c>
    </row>
    <row r="714" ht="15.75" customHeight="1">
      <c r="A714" s="21" t="b">
        <v>0</v>
      </c>
    </row>
    <row r="715" ht="15.75" customHeight="1">
      <c r="A715" s="21" t="b">
        <v>0</v>
      </c>
    </row>
    <row r="716" ht="15.75" customHeight="1">
      <c r="A716" s="21" t="b">
        <v>0</v>
      </c>
    </row>
    <row r="717" ht="15.75" customHeight="1">
      <c r="A717" s="21" t="b">
        <v>0</v>
      </c>
    </row>
    <row r="718" ht="15.75" customHeight="1">
      <c r="A718" s="21" t="b">
        <v>0</v>
      </c>
    </row>
    <row r="719" ht="15.75" customHeight="1">
      <c r="A719" s="21" t="b">
        <v>0</v>
      </c>
    </row>
    <row r="720" ht="15.75" customHeight="1">
      <c r="A720" s="21" t="b">
        <v>0</v>
      </c>
    </row>
    <row r="721" ht="15.75" customHeight="1">
      <c r="A721" s="21" t="b">
        <v>0</v>
      </c>
    </row>
    <row r="722" ht="15.75" customHeight="1">
      <c r="A722" s="21" t="b">
        <v>0</v>
      </c>
    </row>
    <row r="723" ht="15.75" customHeight="1">
      <c r="A723" s="21" t="b">
        <v>0</v>
      </c>
    </row>
    <row r="724" ht="15.75" customHeight="1">
      <c r="A724" s="21" t="b">
        <v>0</v>
      </c>
    </row>
    <row r="725" ht="15.75" customHeight="1">
      <c r="A725" s="21" t="b">
        <v>0</v>
      </c>
    </row>
    <row r="726" ht="15.75" customHeight="1">
      <c r="A726" s="21" t="b">
        <v>0</v>
      </c>
    </row>
    <row r="727" ht="15.75" customHeight="1">
      <c r="A727" s="21" t="b">
        <v>0</v>
      </c>
    </row>
    <row r="728" ht="15.75" customHeight="1">
      <c r="A728" s="21" t="b">
        <v>0</v>
      </c>
    </row>
    <row r="729" ht="15.75" customHeight="1">
      <c r="A729" s="21" t="b">
        <v>0</v>
      </c>
    </row>
    <row r="730" ht="15.75" customHeight="1">
      <c r="A730" s="21" t="b">
        <v>0</v>
      </c>
    </row>
    <row r="731" ht="15.75" customHeight="1">
      <c r="A731" s="21" t="b">
        <v>0</v>
      </c>
    </row>
    <row r="732" ht="15.75" customHeight="1">
      <c r="A732" s="21" t="b">
        <v>0</v>
      </c>
    </row>
    <row r="733" ht="15.75" customHeight="1">
      <c r="A733" s="21" t="b">
        <v>0</v>
      </c>
    </row>
    <row r="734" ht="15.75" customHeight="1">
      <c r="A734" s="21" t="b">
        <v>0</v>
      </c>
    </row>
    <row r="735" ht="15.75" customHeight="1">
      <c r="A735" s="21" t="b">
        <v>0</v>
      </c>
    </row>
    <row r="736" ht="15.75" customHeight="1">
      <c r="A736" s="21" t="b">
        <v>0</v>
      </c>
    </row>
    <row r="737" ht="15.75" customHeight="1">
      <c r="A737" s="21" t="b">
        <v>0</v>
      </c>
    </row>
    <row r="738" ht="15.75" customHeight="1">
      <c r="A738" s="21" t="b">
        <v>0</v>
      </c>
    </row>
    <row r="739" ht="15.75" customHeight="1">
      <c r="A739" s="21" t="b">
        <v>0</v>
      </c>
    </row>
    <row r="740" ht="15.75" customHeight="1">
      <c r="A740" s="21" t="b">
        <v>0</v>
      </c>
    </row>
    <row r="741" ht="15.75" customHeight="1">
      <c r="A741" s="21" t="b">
        <v>0</v>
      </c>
    </row>
    <row r="742" ht="15.75" customHeight="1">
      <c r="A742" s="21" t="b">
        <v>0</v>
      </c>
    </row>
    <row r="743" ht="15.75" customHeight="1">
      <c r="A743" s="21" t="b">
        <v>0</v>
      </c>
    </row>
    <row r="744" ht="15.75" customHeight="1">
      <c r="A744" s="21" t="b">
        <v>0</v>
      </c>
    </row>
    <row r="745" ht="15.75" customHeight="1">
      <c r="A745" s="21" t="b">
        <v>0</v>
      </c>
    </row>
    <row r="746" ht="15.75" customHeight="1">
      <c r="A746" s="21" t="b">
        <v>0</v>
      </c>
    </row>
    <row r="747" ht="15.75" customHeight="1">
      <c r="A747" s="21" t="b">
        <v>0</v>
      </c>
    </row>
    <row r="748" ht="15.75" customHeight="1">
      <c r="A748" s="21" t="b">
        <v>0</v>
      </c>
    </row>
    <row r="749" ht="15.75" customHeight="1">
      <c r="A749" s="21" t="b">
        <v>0</v>
      </c>
    </row>
    <row r="750" ht="15.75" customHeight="1">
      <c r="A750" s="21" t="b">
        <v>0</v>
      </c>
    </row>
    <row r="751" ht="15.75" customHeight="1">
      <c r="A751" s="21" t="b">
        <v>0</v>
      </c>
    </row>
    <row r="752" ht="15.75" customHeight="1">
      <c r="A752" s="21" t="b">
        <v>0</v>
      </c>
    </row>
    <row r="753" ht="15.75" customHeight="1">
      <c r="A753" s="21" t="b">
        <v>0</v>
      </c>
    </row>
    <row r="754" ht="15.75" customHeight="1">
      <c r="A754" s="21" t="b">
        <v>0</v>
      </c>
    </row>
    <row r="755" ht="15.75" customHeight="1">
      <c r="A755" s="21" t="b">
        <v>0</v>
      </c>
    </row>
    <row r="756" ht="15.75" customHeight="1">
      <c r="A756" s="21" t="b">
        <v>0</v>
      </c>
    </row>
    <row r="757" ht="15.75" customHeight="1">
      <c r="A757" s="21" t="b">
        <v>0</v>
      </c>
    </row>
    <row r="758" ht="15.75" customHeight="1">
      <c r="A758" s="21" t="b">
        <v>0</v>
      </c>
    </row>
    <row r="759" ht="15.75" customHeight="1">
      <c r="A759" s="21" t="b">
        <v>0</v>
      </c>
    </row>
    <row r="760" ht="15.75" customHeight="1">
      <c r="A760" s="21" t="b">
        <v>0</v>
      </c>
    </row>
    <row r="761" ht="15.75" customHeight="1">
      <c r="A761" s="21" t="b">
        <v>0</v>
      </c>
    </row>
    <row r="762" ht="15.75" customHeight="1">
      <c r="A762" s="21" t="b">
        <v>0</v>
      </c>
    </row>
    <row r="763" ht="15.75" customHeight="1">
      <c r="A763" s="21" t="b">
        <v>0</v>
      </c>
    </row>
    <row r="764" ht="15.75" customHeight="1">
      <c r="A764" s="21" t="b">
        <v>0</v>
      </c>
    </row>
    <row r="765" ht="15.75" customHeight="1">
      <c r="A765" s="21" t="b">
        <v>0</v>
      </c>
    </row>
    <row r="766" ht="15.75" customHeight="1">
      <c r="A766" s="21" t="b">
        <v>0</v>
      </c>
    </row>
    <row r="767" ht="15.75" customHeight="1">
      <c r="A767" s="21" t="b">
        <v>0</v>
      </c>
    </row>
    <row r="768" ht="15.75" customHeight="1">
      <c r="A768" s="21" t="b">
        <v>0</v>
      </c>
    </row>
    <row r="769" ht="15.75" customHeight="1">
      <c r="A769" s="21" t="b">
        <v>0</v>
      </c>
    </row>
    <row r="770" ht="15.75" customHeight="1">
      <c r="A770" s="21" t="b">
        <v>0</v>
      </c>
    </row>
    <row r="771" ht="15.75" customHeight="1">
      <c r="A771" s="21" t="b">
        <v>0</v>
      </c>
    </row>
    <row r="772" ht="15.75" customHeight="1">
      <c r="A772" s="21" t="b">
        <v>0</v>
      </c>
    </row>
    <row r="773" ht="15.75" customHeight="1">
      <c r="A773" s="21" t="b">
        <v>0</v>
      </c>
    </row>
    <row r="774" ht="15.75" customHeight="1">
      <c r="A774" s="21" t="b">
        <v>0</v>
      </c>
    </row>
    <row r="775" ht="15.75" customHeight="1">
      <c r="A775" s="21" t="b">
        <v>0</v>
      </c>
    </row>
    <row r="776" ht="15.75" customHeight="1">
      <c r="A776" s="21" t="b">
        <v>0</v>
      </c>
    </row>
    <row r="777" ht="15.75" customHeight="1">
      <c r="A777" s="21" t="b">
        <v>0</v>
      </c>
    </row>
    <row r="778" ht="15.75" customHeight="1">
      <c r="A778" s="21" t="b">
        <v>0</v>
      </c>
    </row>
    <row r="779" ht="15.75" customHeight="1">
      <c r="A779" s="21" t="b">
        <v>0</v>
      </c>
    </row>
    <row r="780" ht="15.75" customHeight="1">
      <c r="A780" s="21" t="b">
        <v>0</v>
      </c>
    </row>
    <row r="781" ht="15.75" customHeight="1">
      <c r="A781" s="21" t="b">
        <v>0</v>
      </c>
    </row>
    <row r="782" ht="15.75" customHeight="1">
      <c r="A782" s="21" t="b">
        <v>0</v>
      </c>
    </row>
    <row r="783" ht="15.75" customHeight="1">
      <c r="A783" s="21" t="b">
        <v>0</v>
      </c>
    </row>
    <row r="784" ht="15.75" customHeight="1">
      <c r="A784" s="21" t="b">
        <v>0</v>
      </c>
    </row>
    <row r="785" ht="15.75" customHeight="1">
      <c r="A785" s="21" t="b">
        <v>0</v>
      </c>
    </row>
    <row r="786" ht="15.75" customHeight="1">
      <c r="A786" s="21" t="b">
        <v>0</v>
      </c>
    </row>
    <row r="787" ht="15.75" customHeight="1">
      <c r="A787" s="21" t="b">
        <v>0</v>
      </c>
    </row>
    <row r="788" ht="15.75" customHeight="1">
      <c r="A788" s="21" t="b">
        <v>0</v>
      </c>
    </row>
    <row r="789" ht="15.75" customHeight="1">
      <c r="A789" s="21" t="b">
        <v>0</v>
      </c>
    </row>
    <row r="790" ht="15.75" customHeight="1">
      <c r="A790" s="21" t="b">
        <v>0</v>
      </c>
    </row>
    <row r="791" ht="15.75" customHeight="1">
      <c r="A791" s="21" t="b">
        <v>0</v>
      </c>
    </row>
    <row r="792" ht="15.75" customHeight="1">
      <c r="A792" s="21" t="b">
        <v>0</v>
      </c>
    </row>
    <row r="793" ht="15.75" customHeight="1">
      <c r="A793" s="21" t="b">
        <v>0</v>
      </c>
    </row>
    <row r="794" ht="15.75" customHeight="1">
      <c r="A794" s="21" t="b">
        <v>0</v>
      </c>
    </row>
    <row r="795" ht="15.75" customHeight="1">
      <c r="A795" s="21" t="b">
        <v>0</v>
      </c>
    </row>
    <row r="796" ht="15.75" customHeight="1">
      <c r="A796" s="21" t="b">
        <v>0</v>
      </c>
    </row>
    <row r="797" ht="15.75" customHeight="1">
      <c r="A797" s="21" t="b">
        <v>0</v>
      </c>
    </row>
    <row r="798" ht="15.75" customHeight="1">
      <c r="A798" s="21" t="b">
        <v>0</v>
      </c>
    </row>
    <row r="799" ht="15.75" customHeight="1">
      <c r="A799" s="21" t="b">
        <v>0</v>
      </c>
    </row>
    <row r="800" ht="15.75" customHeight="1">
      <c r="A800" s="21" t="b">
        <v>0</v>
      </c>
    </row>
    <row r="801" ht="15.75" customHeight="1">
      <c r="A801" s="21" t="b">
        <v>0</v>
      </c>
    </row>
    <row r="802" ht="15.75" customHeight="1">
      <c r="A802" s="21" t="b">
        <v>0</v>
      </c>
    </row>
    <row r="803" ht="15.75" customHeight="1">
      <c r="A803" s="21" t="b">
        <v>0</v>
      </c>
    </row>
    <row r="804" ht="15.75" customHeight="1">
      <c r="A804" s="21" t="b">
        <v>0</v>
      </c>
    </row>
    <row r="805" ht="15.75" customHeight="1">
      <c r="A805" s="21" t="b">
        <v>0</v>
      </c>
    </row>
    <row r="806" ht="15.75" customHeight="1">
      <c r="A806" s="21" t="b">
        <v>0</v>
      </c>
    </row>
    <row r="807" ht="15.75" customHeight="1">
      <c r="A807" s="21" t="b">
        <v>0</v>
      </c>
    </row>
    <row r="808" ht="15.75" customHeight="1">
      <c r="A808" s="21" t="b">
        <v>0</v>
      </c>
    </row>
    <row r="809" ht="15.75" customHeight="1">
      <c r="A809" s="21" t="b">
        <v>0</v>
      </c>
    </row>
    <row r="810" ht="15.75" customHeight="1">
      <c r="A810" s="21" t="b">
        <v>0</v>
      </c>
    </row>
    <row r="811" ht="15.75" customHeight="1">
      <c r="A811" s="21" t="b">
        <v>0</v>
      </c>
    </row>
    <row r="812" ht="15.75" customHeight="1">
      <c r="A812" s="21" t="b">
        <v>0</v>
      </c>
    </row>
    <row r="813" ht="15.75" customHeight="1">
      <c r="A813" s="21" t="b">
        <v>0</v>
      </c>
    </row>
    <row r="814" ht="15.75" customHeight="1">
      <c r="A814" s="21" t="b">
        <v>0</v>
      </c>
    </row>
    <row r="815" ht="15.75" customHeight="1">
      <c r="A815" s="21" t="b">
        <v>0</v>
      </c>
    </row>
    <row r="816" ht="15.75" customHeight="1">
      <c r="A816" s="21" t="b">
        <v>0</v>
      </c>
    </row>
    <row r="817" ht="15.75" customHeight="1">
      <c r="A817" s="21" t="b">
        <v>0</v>
      </c>
    </row>
    <row r="818" ht="15.75" customHeight="1">
      <c r="A818" s="21" t="b">
        <v>0</v>
      </c>
    </row>
    <row r="819" ht="15.75" customHeight="1">
      <c r="A819" s="21" t="b">
        <v>0</v>
      </c>
    </row>
    <row r="820" ht="15.75" customHeight="1">
      <c r="A820" s="21" t="b">
        <v>0</v>
      </c>
    </row>
    <row r="821" ht="15.75" customHeight="1">
      <c r="A821" s="21" t="b">
        <v>0</v>
      </c>
    </row>
    <row r="822" ht="15.75" customHeight="1">
      <c r="A822" s="21" t="b">
        <v>0</v>
      </c>
    </row>
    <row r="823" ht="15.75" customHeight="1">
      <c r="A823" s="21" t="b">
        <v>0</v>
      </c>
    </row>
    <row r="824" ht="15.75" customHeight="1">
      <c r="A824" s="21" t="b">
        <v>0</v>
      </c>
    </row>
    <row r="825" ht="15.75" customHeight="1">
      <c r="A825" s="21" t="b">
        <v>0</v>
      </c>
    </row>
    <row r="826" ht="15.75" customHeight="1">
      <c r="A826" s="21" t="b">
        <v>0</v>
      </c>
    </row>
    <row r="827" ht="15.75" customHeight="1">
      <c r="A827" s="21" t="b">
        <v>0</v>
      </c>
    </row>
    <row r="828" ht="15.75" customHeight="1">
      <c r="A828" s="21" t="b">
        <v>0</v>
      </c>
    </row>
    <row r="829" ht="15.75" customHeight="1">
      <c r="A829" s="21" t="b">
        <v>0</v>
      </c>
    </row>
    <row r="830" ht="15.75" customHeight="1">
      <c r="A830" s="21" t="b">
        <v>0</v>
      </c>
    </row>
    <row r="831" ht="15.75" customHeight="1">
      <c r="A831" s="21" t="b">
        <v>0</v>
      </c>
    </row>
    <row r="832" ht="15.75" customHeight="1">
      <c r="A832" s="21" t="b">
        <v>0</v>
      </c>
    </row>
    <row r="833" ht="15.75" customHeight="1">
      <c r="A833" s="21" t="b">
        <v>0</v>
      </c>
    </row>
    <row r="834" ht="15.75" customHeight="1">
      <c r="A834" s="21" t="b">
        <v>0</v>
      </c>
    </row>
    <row r="835" ht="15.75" customHeight="1">
      <c r="A835" s="21" t="b">
        <v>0</v>
      </c>
    </row>
    <row r="836" ht="15.75" customHeight="1">
      <c r="A836" s="21" t="b">
        <v>0</v>
      </c>
    </row>
    <row r="837" ht="15.75" customHeight="1">
      <c r="A837" s="21" t="b">
        <v>0</v>
      </c>
    </row>
    <row r="838" ht="15.75" customHeight="1">
      <c r="A838" s="21" t="b">
        <v>0</v>
      </c>
    </row>
    <row r="839" ht="15.75" customHeight="1">
      <c r="A839" s="21" t="b">
        <v>0</v>
      </c>
    </row>
    <row r="840" ht="15.75" customHeight="1">
      <c r="A840" s="21" t="b">
        <v>0</v>
      </c>
    </row>
    <row r="841" ht="15.75" customHeight="1">
      <c r="A841" s="21" t="b">
        <v>0</v>
      </c>
    </row>
    <row r="842" ht="15.75" customHeight="1">
      <c r="A842" s="21" t="b">
        <v>0</v>
      </c>
    </row>
    <row r="843" ht="15.75" customHeight="1">
      <c r="A843" s="21" t="b">
        <v>0</v>
      </c>
    </row>
    <row r="844" ht="15.75" customHeight="1">
      <c r="A844" s="21" t="b">
        <v>0</v>
      </c>
    </row>
    <row r="845" ht="15.75" customHeight="1">
      <c r="A845" s="21" t="b">
        <v>0</v>
      </c>
    </row>
    <row r="846" ht="15.75" customHeight="1">
      <c r="A846" s="21" t="b">
        <v>0</v>
      </c>
    </row>
    <row r="847" ht="15.75" customHeight="1">
      <c r="A847" s="21" t="b">
        <v>0</v>
      </c>
    </row>
    <row r="848" ht="15.75" customHeight="1">
      <c r="A848" s="21" t="b">
        <v>0</v>
      </c>
    </row>
    <row r="849" ht="15.75" customHeight="1">
      <c r="A849" s="21" t="b">
        <v>0</v>
      </c>
    </row>
    <row r="850" ht="15.75" customHeight="1">
      <c r="A850" s="21" t="b">
        <v>0</v>
      </c>
    </row>
    <row r="851" ht="15.75" customHeight="1">
      <c r="A851" s="21" t="b">
        <v>0</v>
      </c>
    </row>
    <row r="852" ht="15.75" customHeight="1">
      <c r="A852" s="21" t="b">
        <v>0</v>
      </c>
    </row>
    <row r="853" ht="15.75" customHeight="1">
      <c r="A853" s="21" t="b">
        <v>0</v>
      </c>
    </row>
    <row r="854" ht="15.75" customHeight="1">
      <c r="A854" s="21" t="b">
        <v>0</v>
      </c>
    </row>
    <row r="855" ht="15.75" customHeight="1">
      <c r="A855" s="21" t="b">
        <v>0</v>
      </c>
    </row>
    <row r="856" ht="15.75" customHeight="1">
      <c r="A856" s="21" t="b">
        <v>0</v>
      </c>
    </row>
    <row r="857" ht="15.75" customHeight="1">
      <c r="A857" s="21" t="b">
        <v>0</v>
      </c>
    </row>
    <row r="858" ht="15.75" customHeight="1">
      <c r="A858" s="21" t="b">
        <v>0</v>
      </c>
    </row>
    <row r="859" ht="15.75" customHeight="1">
      <c r="A859" s="21" t="b">
        <v>0</v>
      </c>
    </row>
    <row r="860" ht="15.75" customHeight="1">
      <c r="A860" s="21" t="b">
        <v>0</v>
      </c>
    </row>
    <row r="861" ht="15.75" customHeight="1">
      <c r="A861" s="21" t="b">
        <v>0</v>
      </c>
    </row>
    <row r="862" ht="15.75" customHeight="1">
      <c r="A862" s="21" t="b">
        <v>0</v>
      </c>
    </row>
    <row r="863" ht="15.75" customHeight="1">
      <c r="A863" s="21" t="b">
        <v>0</v>
      </c>
    </row>
    <row r="864" ht="15.75" customHeight="1">
      <c r="A864" s="21" t="b">
        <v>0</v>
      </c>
    </row>
    <row r="865" ht="15.75" customHeight="1">
      <c r="A865" s="21" t="b">
        <v>0</v>
      </c>
    </row>
    <row r="866" ht="15.75" customHeight="1">
      <c r="A866" s="21" t="b">
        <v>0</v>
      </c>
    </row>
    <row r="867" ht="15.75" customHeight="1">
      <c r="A867" s="21" t="b">
        <v>0</v>
      </c>
    </row>
    <row r="868" ht="15.75" customHeight="1">
      <c r="A868" s="21" t="b">
        <v>0</v>
      </c>
    </row>
    <row r="869" ht="15.75" customHeight="1">
      <c r="A869" s="21" t="b">
        <v>0</v>
      </c>
    </row>
    <row r="870" ht="15.75" customHeight="1">
      <c r="A870" s="21" t="b">
        <v>0</v>
      </c>
    </row>
    <row r="871" ht="15.75" customHeight="1">
      <c r="A871" s="21" t="b">
        <v>0</v>
      </c>
    </row>
    <row r="872" ht="15.75" customHeight="1">
      <c r="A872" s="21" t="b">
        <v>0</v>
      </c>
    </row>
    <row r="873" ht="15.75" customHeight="1">
      <c r="A873" s="21" t="b">
        <v>0</v>
      </c>
    </row>
    <row r="874" ht="15.75" customHeight="1">
      <c r="A874" s="21" t="b">
        <v>0</v>
      </c>
    </row>
    <row r="875" ht="15.75" customHeight="1">
      <c r="A875" s="21" t="b">
        <v>0</v>
      </c>
    </row>
    <row r="876" ht="15.75" customHeight="1">
      <c r="A876" s="21" t="b">
        <v>0</v>
      </c>
    </row>
    <row r="877" ht="15.75" customHeight="1">
      <c r="A877" s="21" t="b">
        <v>0</v>
      </c>
    </row>
    <row r="878" ht="15.75" customHeight="1">
      <c r="A878" s="21" t="b">
        <v>0</v>
      </c>
    </row>
    <row r="879" ht="15.75" customHeight="1">
      <c r="A879" s="21" t="b">
        <v>0</v>
      </c>
    </row>
    <row r="880" ht="15.75" customHeight="1">
      <c r="A880" s="21" t="b">
        <v>0</v>
      </c>
    </row>
    <row r="881" ht="15.75" customHeight="1">
      <c r="A881" s="21" t="b">
        <v>0</v>
      </c>
    </row>
    <row r="882" ht="15.75" customHeight="1">
      <c r="A882" s="21" t="b">
        <v>0</v>
      </c>
    </row>
    <row r="883" ht="15.75" customHeight="1">
      <c r="A883" s="21" t="b">
        <v>0</v>
      </c>
    </row>
    <row r="884" ht="15.75" customHeight="1">
      <c r="A884" s="21" t="b">
        <v>0</v>
      </c>
    </row>
    <row r="885" ht="15.75" customHeight="1">
      <c r="A885" s="21" t="b">
        <v>0</v>
      </c>
    </row>
    <row r="886" ht="15.75" customHeight="1">
      <c r="A886" s="21" t="b">
        <v>0</v>
      </c>
    </row>
    <row r="887" ht="15.75" customHeight="1">
      <c r="A887" s="21" t="b">
        <v>0</v>
      </c>
    </row>
    <row r="888" ht="15.75" customHeight="1">
      <c r="A888" s="21" t="b">
        <v>0</v>
      </c>
    </row>
    <row r="889" ht="15.75" customHeight="1">
      <c r="A889" s="21" t="b">
        <v>0</v>
      </c>
    </row>
    <row r="890" ht="15.75" customHeight="1">
      <c r="A890" s="21" t="b">
        <v>0</v>
      </c>
    </row>
    <row r="891" ht="15.75" customHeight="1">
      <c r="A891" s="21" t="b">
        <v>0</v>
      </c>
    </row>
    <row r="892" ht="15.75" customHeight="1">
      <c r="A892" s="21" t="b">
        <v>0</v>
      </c>
    </row>
    <row r="893" ht="15.75" customHeight="1">
      <c r="A893" s="21" t="b">
        <v>0</v>
      </c>
    </row>
    <row r="894" ht="15.75" customHeight="1">
      <c r="A894" s="21" t="b">
        <v>0</v>
      </c>
    </row>
    <row r="895" ht="15.75" customHeight="1">
      <c r="A895" s="21" t="b">
        <v>0</v>
      </c>
    </row>
    <row r="896" ht="15.75" customHeight="1">
      <c r="A896" s="21" t="b">
        <v>0</v>
      </c>
    </row>
    <row r="897" ht="15.75" customHeight="1">
      <c r="A897" s="21" t="b">
        <v>0</v>
      </c>
    </row>
    <row r="898" ht="15.75" customHeight="1">
      <c r="A898" s="21" t="b">
        <v>0</v>
      </c>
    </row>
    <row r="899" ht="15.75" customHeight="1">
      <c r="A899" s="21" t="b">
        <v>0</v>
      </c>
    </row>
    <row r="900" ht="15.75" customHeight="1">
      <c r="A900" s="21" t="b">
        <v>0</v>
      </c>
    </row>
    <row r="901" ht="15.75" customHeight="1">
      <c r="A901" s="21" t="b">
        <v>0</v>
      </c>
    </row>
    <row r="902" ht="15.75" customHeight="1">
      <c r="A902" s="21" t="b">
        <v>0</v>
      </c>
    </row>
    <row r="903" ht="15.75" customHeight="1">
      <c r="A903" s="21" t="b">
        <v>0</v>
      </c>
    </row>
    <row r="904" ht="15.75" customHeight="1">
      <c r="A904" s="21" t="b">
        <v>0</v>
      </c>
    </row>
    <row r="905" ht="15.75" customHeight="1">
      <c r="A905" s="21" t="b">
        <v>0</v>
      </c>
    </row>
    <row r="906" ht="15.75" customHeight="1">
      <c r="A906" s="21" t="b">
        <v>0</v>
      </c>
    </row>
    <row r="907" ht="15.75" customHeight="1">
      <c r="A907" s="21" t="b">
        <v>0</v>
      </c>
    </row>
    <row r="908" ht="15.75" customHeight="1">
      <c r="A908" s="21" t="b">
        <v>0</v>
      </c>
    </row>
    <row r="909" ht="15.75" customHeight="1">
      <c r="A909" s="21" t="b">
        <v>0</v>
      </c>
    </row>
    <row r="910" ht="15.75" customHeight="1">
      <c r="A910" s="21" t="b">
        <v>0</v>
      </c>
    </row>
    <row r="911" ht="15.75" customHeight="1">
      <c r="A911" s="21" t="b">
        <v>0</v>
      </c>
    </row>
    <row r="912" ht="15.75" customHeight="1">
      <c r="A912" s="21" t="b">
        <v>0</v>
      </c>
    </row>
    <row r="913" ht="15.75" customHeight="1">
      <c r="A913" s="21" t="b">
        <v>0</v>
      </c>
    </row>
    <row r="914" ht="15.75" customHeight="1">
      <c r="A914" s="21" t="b">
        <v>0</v>
      </c>
    </row>
    <row r="915" ht="15.75" customHeight="1">
      <c r="A915" s="21" t="b">
        <v>0</v>
      </c>
    </row>
    <row r="916" ht="15.75" customHeight="1">
      <c r="A916" s="21" t="b">
        <v>0</v>
      </c>
    </row>
    <row r="917" ht="15.75" customHeight="1">
      <c r="A917" s="21" t="b">
        <v>0</v>
      </c>
    </row>
    <row r="918" ht="15.75" customHeight="1">
      <c r="A918" s="21" t="b">
        <v>0</v>
      </c>
    </row>
    <row r="919" ht="15.75" customHeight="1">
      <c r="A919" s="21" t="b">
        <v>0</v>
      </c>
    </row>
    <row r="920" ht="15.75" customHeight="1">
      <c r="A920" s="21" t="b">
        <v>0</v>
      </c>
    </row>
    <row r="921" ht="15.75" customHeight="1">
      <c r="A921" s="21" t="b">
        <v>0</v>
      </c>
    </row>
    <row r="922" ht="15.75" customHeight="1">
      <c r="A922" s="21" t="b">
        <v>0</v>
      </c>
    </row>
    <row r="923" ht="15.75" customHeight="1">
      <c r="A923" s="21" t="b">
        <v>0</v>
      </c>
    </row>
    <row r="924" ht="15.75" customHeight="1">
      <c r="A924" s="21" t="b">
        <v>0</v>
      </c>
    </row>
    <row r="925" ht="15.75" customHeight="1">
      <c r="A925" s="21" t="b">
        <v>0</v>
      </c>
    </row>
    <row r="926" ht="15.75" customHeight="1">
      <c r="A926" s="21" t="b">
        <v>0</v>
      </c>
    </row>
    <row r="927" ht="15.75" customHeight="1">
      <c r="A927" s="21" t="b">
        <v>0</v>
      </c>
    </row>
    <row r="928" ht="15.75" customHeight="1">
      <c r="A928" s="21" t="b">
        <v>0</v>
      </c>
    </row>
    <row r="929" ht="15.75" customHeight="1">
      <c r="A929" s="21" t="b">
        <v>0</v>
      </c>
    </row>
    <row r="930" ht="15.75" customHeight="1">
      <c r="A930" s="21" t="b">
        <v>0</v>
      </c>
    </row>
    <row r="931" ht="15.75" customHeight="1">
      <c r="A931" s="21" t="b">
        <v>0</v>
      </c>
    </row>
    <row r="932" ht="15.75" customHeight="1">
      <c r="A932" s="21" t="b">
        <v>0</v>
      </c>
    </row>
    <row r="933" ht="15.75" customHeight="1">
      <c r="A933" s="21" t="b">
        <v>0</v>
      </c>
    </row>
    <row r="934" ht="15.75" customHeight="1">
      <c r="A934" s="21" t="b">
        <v>0</v>
      </c>
    </row>
    <row r="935" ht="15.75" customHeight="1">
      <c r="A935" s="21" t="b">
        <v>0</v>
      </c>
    </row>
    <row r="936" ht="15.75" customHeight="1">
      <c r="A936" s="21" t="b">
        <v>0</v>
      </c>
    </row>
    <row r="937" ht="15.75" customHeight="1">
      <c r="A937" s="21" t="b">
        <v>0</v>
      </c>
    </row>
    <row r="938" ht="15.75" customHeight="1">
      <c r="A938" s="21" t="b">
        <v>0</v>
      </c>
    </row>
    <row r="939" ht="15.75" customHeight="1">
      <c r="A939" s="21" t="b">
        <v>0</v>
      </c>
    </row>
    <row r="940" ht="15.75" customHeight="1">
      <c r="A940" s="21" t="b">
        <v>0</v>
      </c>
    </row>
    <row r="941" ht="15.75" customHeight="1">
      <c r="A941" s="21" t="b">
        <v>0</v>
      </c>
    </row>
    <row r="942" ht="15.75" customHeight="1">
      <c r="A942" s="21" t="b">
        <v>0</v>
      </c>
    </row>
    <row r="943" ht="15.75" customHeight="1">
      <c r="A943" s="21" t="b">
        <v>0</v>
      </c>
    </row>
    <row r="944" ht="15.75" customHeight="1">
      <c r="A944" s="21" t="b">
        <v>0</v>
      </c>
    </row>
    <row r="945" ht="15.75" customHeight="1">
      <c r="A945" s="21" t="b">
        <v>0</v>
      </c>
    </row>
    <row r="946" ht="15.75" customHeight="1">
      <c r="A946" s="21" t="b">
        <v>0</v>
      </c>
    </row>
    <row r="947" ht="15.75" customHeight="1">
      <c r="A947" s="21" t="b">
        <v>0</v>
      </c>
    </row>
    <row r="948" ht="15.75" customHeight="1">
      <c r="A948" s="21" t="b">
        <v>0</v>
      </c>
    </row>
    <row r="949" ht="15.75" customHeight="1">
      <c r="A949" s="21" t="b">
        <v>0</v>
      </c>
    </row>
    <row r="950" ht="15.75" customHeight="1">
      <c r="A950" s="21" t="b">
        <v>0</v>
      </c>
    </row>
    <row r="951" ht="15.75" customHeight="1">
      <c r="A951" s="21" t="b">
        <v>0</v>
      </c>
    </row>
    <row r="952" ht="15.75" customHeight="1">
      <c r="A952" s="21" t="b">
        <v>0</v>
      </c>
    </row>
    <row r="953" ht="15.75" customHeight="1">
      <c r="A953" s="21" t="b">
        <v>0</v>
      </c>
    </row>
    <row r="954" ht="15.75" customHeight="1">
      <c r="A954" s="21" t="b">
        <v>0</v>
      </c>
    </row>
    <row r="955" ht="15.75" customHeight="1">
      <c r="A955" s="21" t="b">
        <v>0</v>
      </c>
    </row>
    <row r="956" ht="15.75" customHeight="1">
      <c r="A956" s="21" t="b">
        <v>0</v>
      </c>
    </row>
    <row r="957" ht="15.75" customHeight="1">
      <c r="A957" s="21" t="b">
        <v>0</v>
      </c>
    </row>
    <row r="958" ht="15.75" customHeight="1">
      <c r="A958" s="21" t="b">
        <v>0</v>
      </c>
    </row>
    <row r="959" ht="15.75" customHeight="1">
      <c r="A959" s="21" t="b">
        <v>0</v>
      </c>
    </row>
    <row r="960" ht="15.75" customHeight="1">
      <c r="A960" s="21" t="b">
        <v>0</v>
      </c>
    </row>
    <row r="961" ht="15.75" customHeight="1">
      <c r="A961" s="21" t="b">
        <v>0</v>
      </c>
    </row>
    <row r="962" ht="15.75" customHeight="1">
      <c r="A962" s="21" t="b">
        <v>0</v>
      </c>
    </row>
    <row r="963" ht="15.75" customHeight="1">
      <c r="A963" s="21" t="b">
        <v>0</v>
      </c>
    </row>
    <row r="964" ht="15.75" customHeight="1">
      <c r="A964" s="21" t="b">
        <v>0</v>
      </c>
    </row>
    <row r="965" ht="15.75" customHeight="1">
      <c r="A965" s="21" t="b">
        <v>0</v>
      </c>
    </row>
    <row r="966" ht="15.75" customHeight="1">
      <c r="A966" s="21" t="b">
        <v>0</v>
      </c>
    </row>
    <row r="967" ht="15.75" customHeight="1">
      <c r="A967" s="21" t="b">
        <v>0</v>
      </c>
    </row>
    <row r="968" ht="15.75" customHeight="1">
      <c r="A968" s="21" t="b">
        <v>0</v>
      </c>
    </row>
    <row r="969" ht="15.75" customHeight="1">
      <c r="A969" s="21" t="b">
        <v>0</v>
      </c>
    </row>
    <row r="970" ht="15.75" customHeight="1">
      <c r="A970" s="21" t="b">
        <v>0</v>
      </c>
    </row>
    <row r="971" ht="15.75" customHeight="1">
      <c r="A971" s="21" t="b">
        <v>0</v>
      </c>
    </row>
    <row r="972" ht="15.75" customHeight="1">
      <c r="A972" s="21" t="b">
        <v>0</v>
      </c>
    </row>
    <row r="973" ht="15.75" customHeight="1">
      <c r="A973" s="21" t="b">
        <v>0</v>
      </c>
    </row>
    <row r="974" ht="15.75" customHeight="1">
      <c r="A974" s="21" t="b">
        <v>0</v>
      </c>
    </row>
    <row r="975" ht="15.75" customHeight="1">
      <c r="A975" s="21" t="b">
        <v>0</v>
      </c>
    </row>
    <row r="976" ht="15.75" customHeight="1">
      <c r="A976" s="21" t="b">
        <v>0</v>
      </c>
    </row>
    <row r="977" ht="15.75" customHeight="1">
      <c r="A977" s="21" t="b">
        <v>0</v>
      </c>
    </row>
    <row r="978" ht="15.75" customHeight="1">
      <c r="A978" s="21" t="b">
        <v>0</v>
      </c>
    </row>
    <row r="979" ht="15.75" customHeight="1">
      <c r="A979" s="21" t="b">
        <v>0</v>
      </c>
    </row>
    <row r="980" ht="15.75" customHeight="1">
      <c r="A980" s="21" t="b">
        <v>0</v>
      </c>
    </row>
    <row r="981" ht="15.75" customHeight="1">
      <c r="A981" s="21" t="b">
        <v>0</v>
      </c>
    </row>
    <row r="982" ht="15.75" customHeight="1">
      <c r="A982" s="21" t="b">
        <v>0</v>
      </c>
    </row>
    <row r="983" ht="15.75" customHeight="1">
      <c r="A983" s="21" t="b">
        <v>0</v>
      </c>
    </row>
    <row r="984" ht="15.75" customHeight="1">
      <c r="A984" s="21" t="b">
        <v>0</v>
      </c>
    </row>
    <row r="985" ht="15.75" customHeight="1">
      <c r="A985" s="21" t="b">
        <v>0</v>
      </c>
    </row>
    <row r="986" ht="15.75" customHeight="1">
      <c r="A986" s="21" t="b">
        <v>0</v>
      </c>
    </row>
    <row r="987" ht="15.75" customHeight="1">
      <c r="A987" s="21" t="b">
        <v>0</v>
      </c>
    </row>
    <row r="988" ht="15.75" customHeight="1">
      <c r="A988" s="21" t="b">
        <v>0</v>
      </c>
    </row>
    <row r="989" ht="15.75" customHeight="1">
      <c r="A989" s="21" t="b">
        <v>0</v>
      </c>
    </row>
    <row r="990" ht="15.75" customHeight="1">
      <c r="A990" s="21" t="b">
        <v>0</v>
      </c>
    </row>
    <row r="991" ht="15.75" customHeight="1">
      <c r="A991" s="21" t="b">
        <v>0</v>
      </c>
    </row>
    <row r="992" ht="15.75" customHeight="1">
      <c r="A992" s="21" t="b">
        <v>0</v>
      </c>
    </row>
    <row r="993" ht="15.75" customHeight="1">
      <c r="A993" s="21" t="b">
        <v>0</v>
      </c>
    </row>
    <row r="994" ht="15.75" customHeight="1">
      <c r="A994" s="21" t="b">
        <v>0</v>
      </c>
    </row>
    <row r="995" ht="15.75" customHeight="1">
      <c r="A995" s="21" t="b">
        <v>0</v>
      </c>
    </row>
    <row r="996" ht="15.75" customHeight="1">
      <c r="A996" s="21" t="b">
        <v>0</v>
      </c>
    </row>
    <row r="997" ht="15.75" customHeight="1">
      <c r="A997" s="21" t="b">
        <v>0</v>
      </c>
    </row>
    <row r="998" ht="15.75" customHeight="1">
      <c r="A998" s="21" t="b">
        <v>0</v>
      </c>
    </row>
    <row r="999" ht="15.75" customHeight="1">
      <c r="A999" s="21" t="b">
        <v>0</v>
      </c>
    </row>
    <row r="1000" ht="15.75" customHeight="1">
      <c r="A1000" s="21" t="b">
        <v>0</v>
      </c>
    </row>
  </sheetData>
  <conditionalFormatting sqref="A1:A1000">
    <cfRule type="notContainsBlanks" dxfId="0" priority="1">
      <formula>LEN(TRIM(A1))&gt;0</formula>
    </cfRule>
  </conditionalFormatting>
  <dataValidations>
    <dataValidation type="list" allowBlank="1" sqref="I4:I19">
      <formula1>"None,STR Mod,DEX Mod,CON Mod,INT Mod,WIS Mod,CHA Mod,Spell Attack,Weapon Attack,Best Melee,Best Ranged,Manual"</formula1>
    </dataValidation>
    <dataValidation type="list" allowBlank="1" sqref="G4:G19">
      <formula1>"Attack,Check,Damage,Heal,Save DC,None"</formula1>
    </dataValidation>
    <dataValidation type="list" allowBlank="1" sqref="C4:C19">
      <formula1>"Action,Bonus Action,Reaction,Passive,Utility,Other"</formula1>
    </dataValidation>
    <dataValidation type="list" allowBlank="1" sqref="F4:F19">
      <formula1>"Roll,Bonus Effect,Toggle,Reaction Modifier,Passive"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3" width="10.0"/>
    <col customWidth="1" min="4" max="4" width="8.71"/>
    <col customWidth="1" min="5" max="7" width="10.0"/>
    <col customWidth="1" min="8" max="8" width="22.0"/>
    <col customWidth="1" min="9" max="9" width="8.0"/>
    <col customWidth="1" min="10" max="10" width="12.0"/>
    <col customWidth="1" min="11" max="13" width="14.0"/>
    <col customWidth="1" min="14" max="14" width="16.0"/>
    <col customWidth="1" min="15" max="15" width="12.0"/>
    <col customWidth="1" min="16" max="16" width="14.0"/>
    <col customWidth="1" min="17" max="17" width="12.0"/>
    <col customWidth="1" min="18" max="19" width="10.0"/>
    <col customWidth="1" min="20" max="20" width="14.0"/>
    <col customWidth="1" min="21" max="21" width="18.0"/>
    <col customWidth="1" min="22" max="22" width="14.0"/>
    <col customWidth="1" min="23" max="23" width="22.0"/>
    <col customWidth="1" min="24" max="24" width="14.0"/>
    <col customWidth="1" min="25" max="25" width="18.0"/>
    <col customWidth="1" min="26" max="27" width="14.0"/>
    <col customWidth="1" min="28" max="28" width="36.0"/>
  </cols>
  <sheetData>
    <row r="1">
      <c r="A1" s="1" t="s">
        <v>2</v>
      </c>
      <c r="B1" s="3"/>
      <c r="C1" s="3"/>
      <c r="D1" s="3"/>
      <c r="E1" s="3"/>
      <c r="F1" s="3"/>
      <c r="G1" s="3"/>
      <c r="H1" s="3"/>
      <c r="I1" s="3"/>
      <c r="J1" s="3"/>
      <c r="K1" s="3"/>
      <c r="L1" s="3"/>
      <c r="M1" s="3"/>
      <c r="N1" s="3"/>
      <c r="O1" s="3"/>
      <c r="P1" s="3"/>
      <c r="Q1" s="3"/>
      <c r="R1" s="3"/>
      <c r="S1" s="3"/>
      <c r="T1" s="3"/>
      <c r="U1" s="3"/>
      <c r="V1" s="3"/>
      <c r="W1" s="3"/>
      <c r="X1" s="3"/>
      <c r="Y1" s="3"/>
      <c r="Z1" s="3"/>
      <c r="AA1" s="3"/>
      <c r="AB1" s="5"/>
    </row>
    <row r="3">
      <c r="A3" s="7" t="s">
        <v>16</v>
      </c>
      <c r="B3" s="9"/>
      <c r="C3" s="10"/>
      <c r="E3" s="7" t="s">
        <v>22</v>
      </c>
      <c r="F3" s="9"/>
      <c r="G3" s="9"/>
      <c r="H3" s="9"/>
      <c r="I3" s="9"/>
      <c r="J3" s="9"/>
      <c r="K3" s="9"/>
      <c r="L3" s="9"/>
      <c r="M3" s="9"/>
      <c r="N3" s="9"/>
      <c r="O3" s="9"/>
      <c r="P3" s="9"/>
      <c r="Q3" s="9"/>
      <c r="R3" s="9"/>
      <c r="S3" s="9"/>
      <c r="T3" s="9"/>
      <c r="U3" s="9"/>
      <c r="V3" s="9"/>
      <c r="W3" s="9"/>
      <c r="X3" s="9"/>
      <c r="Y3" s="9"/>
      <c r="Z3" s="9"/>
      <c r="AA3" s="9"/>
      <c r="AB3" s="10"/>
    </row>
    <row r="4">
      <c r="A4" s="15" t="s">
        <v>29</v>
      </c>
      <c r="B4" s="15" t="s">
        <v>35</v>
      </c>
      <c r="C4" s="15" t="s">
        <v>36</v>
      </c>
      <c r="E4" s="15" t="s">
        <v>38</v>
      </c>
      <c r="F4" s="15" t="s">
        <v>39</v>
      </c>
      <c r="G4" s="15" t="s">
        <v>41</v>
      </c>
      <c r="H4" s="15" t="s">
        <v>42</v>
      </c>
      <c r="I4" s="15" t="s">
        <v>29</v>
      </c>
      <c r="J4" s="15" t="s">
        <v>47</v>
      </c>
      <c r="K4" s="15" t="s">
        <v>49</v>
      </c>
      <c r="L4" s="15" t="s">
        <v>51</v>
      </c>
      <c r="M4" s="15" t="s">
        <v>53</v>
      </c>
      <c r="N4" s="15" t="s">
        <v>54</v>
      </c>
      <c r="O4" s="15" t="s">
        <v>56</v>
      </c>
      <c r="P4" s="15" t="s">
        <v>57</v>
      </c>
      <c r="Q4" s="15" t="s">
        <v>58</v>
      </c>
      <c r="R4" s="15" t="s">
        <v>59</v>
      </c>
      <c r="S4" s="15" t="s">
        <v>60</v>
      </c>
      <c r="T4" s="15" t="s">
        <v>61</v>
      </c>
      <c r="U4" s="15" t="s">
        <v>62</v>
      </c>
      <c r="V4" s="15" t="s">
        <v>63</v>
      </c>
      <c r="W4" s="15" t="s">
        <v>64</v>
      </c>
      <c r="X4" s="15" t="s">
        <v>65</v>
      </c>
      <c r="Y4" s="15" t="s">
        <v>66</v>
      </c>
      <c r="Z4" s="15" t="s">
        <v>67</v>
      </c>
      <c r="AA4" s="15" t="s">
        <v>68</v>
      </c>
    </row>
    <row r="5">
      <c r="A5" s="12" t="s">
        <v>69</v>
      </c>
      <c r="B5" s="12"/>
      <c r="C5" s="12"/>
      <c r="E5" s="12" t="s">
        <v>73</v>
      </c>
      <c r="F5" s="12" t="s">
        <v>73</v>
      </c>
      <c r="G5" s="12" t="s">
        <v>73</v>
      </c>
      <c r="H5" s="12" t="s">
        <v>27</v>
      </c>
      <c r="I5" s="12">
        <f t="array" ref="I5">IFERROR(INDEX(SpellData!$B$4:$B$20,MATCH(H5,SpellData!$A$4:$A$20,0)),"")</f>
        <v>1</v>
      </c>
      <c r="J5" s="12" t="str">
        <f t="array" ref="J5">IFERROR(INDEX(SpellData!$C$4:$C$20,MATCH(H5,SpellData!$A$4:$A$20,0)),"")</f>
        <v>Abjuration</v>
      </c>
      <c r="K5" s="12" t="str">
        <f t="array" ref="K5">IFERROR(INDEX(SpellData!$D$4:$D$20,MATCH(H5,SpellData!$A$4:$A$20,0)),"")</f>
        <v>Reaction</v>
      </c>
      <c r="L5" s="12" t="str">
        <f t="array" ref="L5">IFERROR(INDEX(SpellData!$E$4:$E$20,MATCH(H5,SpellData!$A$4:$A$20,0)),"")</f>
        <v>Buff</v>
      </c>
      <c r="M5" s="12" t="str">
        <f t="array" ref="M5">IFERROR(INDEX(SpellData!$F$4:$F$20,MATCH(H5,SpellData!$A$4:$A$20,0)),"")</f>
        <v/>
      </c>
      <c r="N5" s="12" t="str">
        <f t="array" ref="N5">IFERROR(INDEX(SpellData!$G$4:$G$20,MATCH(H5,SpellData!$A$4:$A$20,0)),"")</f>
        <v/>
      </c>
      <c r="O5" s="12" t="str">
        <f t="array" ref="O5">IFERROR(INDEX(SpellData!$H$4:$H$20,MATCH(H5,SpellData!$A$4:$A$20,0)),"")</f>
        <v/>
      </c>
      <c r="P5" s="12" t="str">
        <f t="array" ref="P5">IFERROR(INDEX(SpellData!$I$4:$I$20,MATCH(H5,SpellData!$A$4:$A$20,0)),"")</f>
        <v/>
      </c>
      <c r="Q5" s="12" t="str">
        <f t="array" ref="Q5">IFERROR(INDEX(SpellData!$J$4:$J$20,MATCH(H5,SpellData!$A$4:$A$20,0)),"")</f>
        <v>+5 AC</v>
      </c>
      <c r="R5" s="12" t="str">
        <f t="array" ref="R5">IFERROR(INDEX(SpellData!$K$4:$K$20,MATCH(H5,SpellData!$A$4:$A$20,0)),"")</f>
        <v>FALSE</v>
      </c>
      <c r="S5" s="12" t="str">
        <f t="array" ref="S5">IFERROR(INDEX(SpellData!$L$4:$L$20,MATCH(H5,SpellData!$A$4:$A$20,0)),"")</f>
        <v>FALSE</v>
      </c>
      <c r="T5" s="12" t="str">
        <f t="array" ref="T5">IFERROR(INDEX(SpellData!$M$4:$M$20,MATCH(H5,SpellData!$A$4:$A$20,0)),"")</f>
        <v>Until start of your next turn</v>
      </c>
      <c r="U5" s="12" t="str">
        <f t="array" ref="U5">IFERROR(INDEX(SpellData!$N$4:$N$20,MATCH(H5,SpellData!$A$4:$A$20,0)),"")</f>
        <v>Auto</v>
      </c>
      <c r="V5" s="12" t="str">
        <f t="array" ref="V5">IFERROR(INDEX(SpellData!$O$4:$O$20,MATCH(H5,SpellData!$A$4:$A$20,0)),"")</f>
        <v>+5 AC</v>
      </c>
      <c r="W5" s="12" t="str">
        <f t="array" ref="W5">IFERROR(INDEX(SpellData!$P$4:$P$20,MATCH(H5,SpellData!$A$4:$A$20,0)),"")</f>
        <v>None</v>
      </c>
      <c r="X5" s="12" t="str">
        <f t="array" ref="X5">IFERROR(INDEX(SpellData!$Q$4:$Q$20,MATCH(H5,SpellData!$A$4:$A$20,0)),"")</f>
        <v/>
      </c>
      <c r="Y5" s="19" t="str">
        <f>IF(M5="Spell Attack",Character!$E$30,"")</f>
        <v/>
      </c>
      <c r="Z5" s="12" t="str">
        <f>IF(N5="Spell DC",Character!$E$31,"")</f>
        <v/>
      </c>
      <c r="AA5" s="12"/>
      <c r="AB5" s="12" t="str">
        <f t="array" ref="AB5">IFERROR(INDEX(SpellData!$R$4:$R$20,MATCH(H5,SpellData!$A$4:$A$20,0)),"")</f>
        <v>Cast when hit or targeted by Magic Missile</v>
      </c>
    </row>
    <row r="6">
      <c r="A6" s="12" t="s">
        <v>176</v>
      </c>
      <c r="B6" s="12">
        <v>0.0</v>
      </c>
      <c r="C6" s="12">
        <v>0.0</v>
      </c>
      <c r="E6" s="12" t="s">
        <v>73</v>
      </c>
      <c r="F6" s="12" t="s">
        <v>73</v>
      </c>
      <c r="G6" s="12" t="s">
        <v>73</v>
      </c>
      <c r="H6" s="12" t="s">
        <v>178</v>
      </c>
      <c r="I6" s="12">
        <f t="array" ref="I6">IFERROR(INDEX(SpellData!$B$4:$B$20,MATCH(H6,SpellData!$A$4:$A$20,0)),"")</f>
        <v>0</v>
      </c>
      <c r="J6" s="12" t="str">
        <f t="array" ref="J6">IFERROR(INDEX(SpellData!$C$4:$C$20,MATCH(H6,SpellData!$A$4:$A$20,0)),"")</f>
        <v>Evocation</v>
      </c>
      <c r="K6" s="12" t="str">
        <f t="array" ref="K6">IFERROR(INDEX(SpellData!$D$4:$D$20,MATCH(H6,SpellData!$A$4:$A$20,0)),"")</f>
        <v>Action</v>
      </c>
      <c r="L6" s="12" t="str">
        <f t="array" ref="L6">IFERROR(INDEX(SpellData!$E$4:$E$20,MATCH(H6,SpellData!$A$4:$A$20,0)),"")</f>
        <v>Attack</v>
      </c>
      <c r="M6" s="12" t="str">
        <f t="array" ref="M6">IFERROR(INDEX(SpellData!$F$4:$F$20,MATCH(H6,SpellData!$A$4:$A$20,0)),"")</f>
        <v>Spell Attack</v>
      </c>
      <c r="N6" s="12" t="str">
        <f t="array" ref="N6">IFERROR(INDEX(SpellData!$G$4:$G$20,MATCH(H6,SpellData!$A$4:$A$20,0)),"")</f>
        <v/>
      </c>
      <c r="O6" s="12" t="str">
        <f t="array" ref="O6">IFERROR(INDEX(SpellData!$H$4:$H$20,MATCH(H6,SpellData!$A$4:$A$20,0)),"")</f>
        <v/>
      </c>
      <c r="P6" s="12" t="str">
        <f t="array" ref="P6">IFERROR(INDEX(SpellData!$I$4:$I$20,MATCH(H6,SpellData!$A$4:$A$20,0)),"")</f>
        <v>1d10</v>
      </c>
      <c r="Q6" s="12" t="str">
        <f t="array" ref="Q6">IFERROR(INDEX(SpellData!$J$4:$J$20,MATCH(H6,SpellData!$A$4:$A$20,0)),"")</f>
        <v>Fire</v>
      </c>
      <c r="R6" s="12" t="str">
        <f t="array" ref="R6">IFERROR(INDEX(SpellData!$K$4:$K$20,MATCH(H6,SpellData!$A$4:$A$20,0)),"")</f>
        <v>FALSE</v>
      </c>
      <c r="S6" s="12" t="str">
        <f t="array" ref="S6">IFERROR(INDEX(SpellData!$L$4:$L$20,MATCH(H6,SpellData!$A$4:$A$20,0)),"")</f>
        <v>FALSE</v>
      </c>
      <c r="T6" s="12" t="str">
        <f t="array" ref="T6">IFERROR(INDEX(SpellData!$M$4:$M$20,MATCH(H6,SpellData!$A$4:$A$20,0)),"")</f>
        <v>Instant</v>
      </c>
      <c r="U6" s="12" t="str">
        <f t="array" ref="U6">IFERROR(INDEX(SpellData!$N$4:$N$20,MATCH(H6,SpellData!$A$4:$A$20,0)),"")</f>
        <v>None</v>
      </c>
      <c r="V6" s="12" t="str">
        <f t="array" ref="V6">IFERROR(INDEX(SpellData!$O$4:$O$20,MATCH(H6,SpellData!$A$4:$A$20,0)),"")</f>
        <v/>
      </c>
      <c r="W6" s="12" t="str">
        <f t="array" ref="W6">IFERROR(INDEX(SpellData!$P$4:$P$20,MATCH(H6,SpellData!$A$4:$A$20,0)),"")</f>
        <v>CantripDice</v>
      </c>
      <c r="X6" s="12" t="str">
        <f t="array" ref="X6">IFERROR(INDEX(SpellData!$Q$4:$Q$20,MATCH(H6,SpellData!$A$4:$A$20,0)),"")</f>
        <v>5:2d10;11:3d10;17:4d10</v>
      </c>
      <c r="Y6" s="19" t="str">
        <f>IF(M6="Spell Attack",Character!$E$30,"")</f>
        <v/>
      </c>
      <c r="Z6" s="12" t="str">
        <f>IF(N6="Spell DC",Character!$E$31,"")</f>
        <v/>
      </c>
      <c r="AA6" s="12"/>
      <c r="AB6" s="12" t="str">
        <f t="array" ref="AB6">IFERROR(INDEX(SpellData!$R$4:$R$20,MATCH(H6,SpellData!$A$4:$A$20,0)),"")</f>
        <v/>
      </c>
    </row>
    <row r="7">
      <c r="A7" s="12" t="s">
        <v>188</v>
      </c>
      <c r="B7" s="12">
        <v>0.0</v>
      </c>
      <c r="C7" s="12">
        <v>0.0</v>
      </c>
      <c r="E7" s="12" t="s">
        <v>73</v>
      </c>
      <c r="F7" s="12" t="s">
        <v>190</v>
      </c>
      <c r="G7" s="12" t="s">
        <v>73</v>
      </c>
      <c r="H7" s="12" t="s">
        <v>191</v>
      </c>
      <c r="I7" s="12">
        <f t="array" ref="I7">IFERROR(INDEX(SpellData!$B$4:$B$20,MATCH(H7,SpellData!$A$4:$A$20,0)),"")</f>
        <v>3</v>
      </c>
      <c r="J7" s="12" t="str">
        <f t="array" ref="J7">IFERROR(INDEX(SpellData!$C$4:$C$20,MATCH(H7,SpellData!$A$4:$A$20,0)),"")</f>
        <v>Evocation</v>
      </c>
      <c r="K7" s="12" t="str">
        <f t="array" ref="K7">IFERROR(INDEX(SpellData!$D$4:$D$20,MATCH(H7,SpellData!$A$4:$A$20,0)),"")</f>
        <v>Action</v>
      </c>
      <c r="L7" s="12" t="str">
        <f t="array" ref="L7">IFERROR(INDEX(SpellData!$E$4:$E$20,MATCH(H7,SpellData!$A$4:$A$20,0)),"")</f>
        <v>Save</v>
      </c>
      <c r="M7" s="12" t="str">
        <f t="array" ref="M7">IFERROR(INDEX(SpellData!$F$4:$F$20,MATCH(H7,SpellData!$A$4:$A$20,0)),"")</f>
        <v/>
      </c>
      <c r="N7" s="12" t="str">
        <f t="array" ref="N7">IFERROR(INDEX(SpellData!$G$4:$G$20,MATCH(H7,SpellData!$A$4:$A$20,0)),"")</f>
        <v>Spell DC</v>
      </c>
      <c r="O7" s="12" t="str">
        <f t="array" ref="O7">IFERROR(INDEX(SpellData!$H$4:$H$20,MATCH(H7,SpellData!$A$4:$A$20,0)),"")</f>
        <v>DEX</v>
      </c>
      <c r="P7" s="12" t="str">
        <f t="array" ref="P7">IFERROR(INDEX(SpellData!$I$4:$I$20,MATCH(H7,SpellData!$A$4:$A$20,0)),"")</f>
        <v>8d6</v>
      </c>
      <c r="Q7" s="12" t="str">
        <f t="array" ref="Q7">IFERROR(INDEX(SpellData!$J$4:$J$20,MATCH(H7,SpellData!$A$4:$A$20,0)),"")</f>
        <v>Fire</v>
      </c>
      <c r="R7" s="12" t="str">
        <f t="array" ref="R7">IFERROR(INDEX(SpellData!$K$4:$K$20,MATCH(H7,SpellData!$A$4:$A$20,0)),"")</f>
        <v>FALSE</v>
      </c>
      <c r="S7" s="12" t="str">
        <f t="array" ref="S7">IFERROR(INDEX(SpellData!$L$4:$L$20,MATCH(H7,SpellData!$A$4:$A$20,0)),"")</f>
        <v>FALSE</v>
      </c>
      <c r="T7" s="12" t="str">
        <f t="array" ref="T7">IFERROR(INDEX(SpellData!$M$4:$M$20,MATCH(H7,SpellData!$A$4:$A$20,0)),"")</f>
        <v>Instant</v>
      </c>
      <c r="U7" s="12" t="str">
        <f t="array" ref="U7">IFERROR(INDEX(SpellData!$N$4:$N$20,MATCH(H7,SpellData!$A$4:$A$20,0)),"")</f>
        <v>Auto</v>
      </c>
      <c r="V7" s="12" t="str">
        <f t="array" ref="V7">IFERROR(INDEX(SpellData!$O$4:$O$20,MATCH(H7,SpellData!$A$4:$A$20,0)),"")</f>
        <v/>
      </c>
      <c r="W7" s="12" t="str">
        <f t="array" ref="W7">IFERROR(INDEX(SpellData!$P$4:$P$20,MATCH(H7,SpellData!$A$4:$A$20,0)),"")</f>
        <v>SlotDice</v>
      </c>
      <c r="X7" s="12" t="str">
        <f t="array" ref="X7">IFERROR(INDEX(SpellData!$Q$4:$Q$20,MATCH(H7,SpellData!$A$4:$A$20,0)),"")</f>
        <v>+1d6/slot</v>
      </c>
      <c r="Y7" s="19" t="str">
        <f>IF(M7="Spell Attack",Character!$E$30,"")</f>
        <v/>
      </c>
      <c r="Z7" s="12" t="str">
        <f>IF(N7="Spell DC",Character!$E$31,"")</f>
        <v/>
      </c>
      <c r="AA7" s="12"/>
      <c r="AB7" s="12" t="str">
        <f t="array" ref="AB7">IFERROR(INDEX(SpellData!$R$4:$R$20,MATCH(H7,SpellData!$A$4:$A$20,0)),"")</f>
        <v/>
      </c>
    </row>
    <row r="8">
      <c r="A8" s="12" t="s">
        <v>207</v>
      </c>
      <c r="B8" s="12">
        <v>0.0</v>
      </c>
      <c r="C8" s="12">
        <v>0.0</v>
      </c>
      <c r="E8" s="12" t="s">
        <v>73</v>
      </c>
      <c r="F8" s="12" t="s">
        <v>190</v>
      </c>
      <c r="G8" s="12" t="s">
        <v>73</v>
      </c>
      <c r="H8" s="12" t="s">
        <v>208</v>
      </c>
      <c r="I8" s="12">
        <f t="array" ref="I8">IFERROR(INDEX(SpellData!$B$4:$B$20,MATCH(H8,SpellData!$A$4:$A$20,0)),"")</f>
        <v>1</v>
      </c>
      <c r="J8" s="12" t="str">
        <f t="array" ref="J8">IFERROR(INDEX(SpellData!$C$4:$C$20,MATCH(H8,SpellData!$A$4:$A$20,0)),"")</f>
        <v>Enchantment</v>
      </c>
      <c r="K8" s="12" t="str">
        <f t="array" ref="K8">IFERROR(INDEX(SpellData!$D$4:$D$20,MATCH(H8,SpellData!$A$4:$A$20,0)),"")</f>
        <v>Action</v>
      </c>
      <c r="L8" s="12" t="str">
        <f t="array" ref="L8">IFERROR(INDEX(SpellData!$E$4:$E$20,MATCH(H8,SpellData!$A$4:$A$20,0)),"")</f>
        <v>Buff</v>
      </c>
      <c r="M8" s="12" t="str">
        <f t="array" ref="M8">IFERROR(INDEX(SpellData!$F$4:$F$20,MATCH(H8,SpellData!$A$4:$A$20,0)),"")</f>
        <v/>
      </c>
      <c r="N8" s="12" t="str">
        <f t="array" ref="N8">IFERROR(INDEX(SpellData!$G$4:$G$20,MATCH(H8,SpellData!$A$4:$A$20,0)),"")</f>
        <v/>
      </c>
      <c r="O8" s="12" t="str">
        <f t="array" ref="O8">IFERROR(INDEX(SpellData!$H$4:$H$20,MATCH(H8,SpellData!$A$4:$A$20,0)),"")</f>
        <v/>
      </c>
      <c r="P8" s="12" t="str">
        <f t="array" ref="P8">IFERROR(INDEX(SpellData!$I$4:$I$20,MATCH(H8,SpellData!$A$4:$A$20,0)),"")</f>
        <v>1d4</v>
      </c>
      <c r="Q8" s="12" t="str">
        <f t="array" ref="Q8">IFERROR(INDEX(SpellData!$J$4:$J$20,MATCH(H8,SpellData!$A$4:$A$20,0)),"")</f>
        <v>Buff</v>
      </c>
      <c r="R8" s="12" t="str">
        <f t="array" ref="R8">IFERROR(INDEX(SpellData!$K$4:$K$20,MATCH(H8,SpellData!$A$4:$A$20,0)),"")</f>
        <v>TRUE</v>
      </c>
      <c r="S8" s="12" t="str">
        <f t="array" ref="S8">IFERROR(INDEX(SpellData!$L$4:$L$20,MATCH(H8,SpellData!$A$4:$A$20,0)),"")</f>
        <v>FALSE</v>
      </c>
      <c r="T8" s="12" t="str">
        <f t="array" ref="T8">IFERROR(INDEX(SpellData!$M$4:$M$20,MATCH(H8,SpellData!$A$4:$A$20,0)),"")</f>
        <v>1 minute</v>
      </c>
      <c r="U8" s="12" t="str">
        <f t="array" ref="U8">IFERROR(INDEX(SpellData!$N$4:$N$20,MATCH(H8,SpellData!$A$4:$A$20,0)),"")</f>
        <v>Auto</v>
      </c>
      <c r="V8" s="12" t="str">
        <f t="array" ref="V8">IFERROR(INDEX(SpellData!$O$4:$O$20,MATCH(H8,SpellData!$A$4:$A$20,0)),"")</f>
        <v/>
      </c>
      <c r="W8" s="12" t="str">
        <f t="array" ref="W8">IFERROR(INDEX(SpellData!$P$4:$P$20,MATCH(H8,SpellData!$A$4:$A$20,0)),"")</f>
        <v>None</v>
      </c>
      <c r="X8" s="12" t="str">
        <f t="array" ref="X8">IFERROR(INDEX(SpellData!$Q$4:$Q$20,MATCH(H8,SpellData!$A$4:$A$20,0)),"")</f>
        <v/>
      </c>
      <c r="Y8" s="19" t="str">
        <f>IF(M8="Spell Attack",Character!$E$30,"")</f>
        <v/>
      </c>
      <c r="Z8" s="12" t="str">
        <f>IF(N8="Spell DC",Character!$E$31,"")</f>
        <v/>
      </c>
      <c r="AA8" s="12"/>
      <c r="AB8" s="12" t="str">
        <f t="array" ref="AB8">IFERROR(INDEX(SpellData!$R$4:$R$20,MATCH(H8,SpellData!$A$4:$A$20,0)),"")</f>
        <v>Add 1d4 to attacks and saves</v>
      </c>
    </row>
    <row r="9">
      <c r="A9" s="12" t="s">
        <v>217</v>
      </c>
      <c r="B9" s="12">
        <v>0.0</v>
      </c>
      <c r="C9" s="12">
        <v>0.0</v>
      </c>
      <c r="E9" s="12"/>
      <c r="F9" s="12"/>
      <c r="G9" s="12"/>
      <c r="H9" s="12"/>
      <c r="I9" s="12" t="str">
        <f t="array" ref="I9">IFERROR(INDEX(SpellData!$B$4:$B$20,MATCH(H9,SpellData!$A$4:$A$20,0)),"")</f>
        <v/>
      </c>
      <c r="J9" s="12" t="str">
        <f t="array" ref="J9">IFERROR(INDEX(SpellData!$C$4:$C$20,MATCH(H9,SpellData!$A$4:$A$20,0)),"")</f>
        <v/>
      </c>
      <c r="K9" s="12" t="str">
        <f t="array" ref="K9">IFERROR(INDEX(SpellData!$D$4:$D$20,MATCH(H9,SpellData!$A$4:$A$20,0)),"")</f>
        <v/>
      </c>
      <c r="L9" s="12" t="str">
        <f t="array" ref="L9">IFERROR(INDEX(SpellData!$E$4:$E$20,MATCH(H9,SpellData!$A$4:$A$20,0)),"")</f>
        <v/>
      </c>
      <c r="M9" s="12" t="str">
        <f t="array" ref="M9">IFERROR(INDEX(SpellData!$F$4:$F$20,MATCH(H9,SpellData!$A$4:$A$20,0)),"")</f>
        <v/>
      </c>
      <c r="N9" s="12" t="str">
        <f t="array" ref="N9">IFERROR(INDEX(SpellData!$G$4:$G$20,MATCH(H9,SpellData!$A$4:$A$20,0)),"")</f>
        <v/>
      </c>
      <c r="O9" s="12" t="str">
        <f t="array" ref="O9">IFERROR(INDEX(SpellData!$H$4:$H$20,MATCH(H9,SpellData!$A$4:$A$20,0)),"")</f>
        <v/>
      </c>
      <c r="P9" s="12" t="str">
        <f t="array" ref="P9">IFERROR(INDEX(SpellData!$I$4:$I$20,MATCH(H9,SpellData!$A$4:$A$20,0)),"")</f>
        <v/>
      </c>
      <c r="Q9" s="12" t="str">
        <f t="array" ref="Q9">IFERROR(INDEX(SpellData!$J$4:$J$20,MATCH(H9,SpellData!$A$4:$A$20,0)),"")</f>
        <v/>
      </c>
      <c r="R9" s="12" t="str">
        <f t="array" ref="R9">IFERROR(INDEX(SpellData!$K$4:$K$20,MATCH(H9,SpellData!$A$4:$A$20,0)),"")</f>
        <v/>
      </c>
      <c r="S9" s="12" t="str">
        <f t="array" ref="S9">IFERROR(INDEX(SpellData!$L$4:$L$20,MATCH(H9,SpellData!$A$4:$A$20,0)),"")</f>
        <v/>
      </c>
      <c r="T9" s="12" t="str">
        <f t="array" ref="T9">IFERROR(INDEX(SpellData!$M$4:$M$20,MATCH(H9,SpellData!$A$4:$A$20,0)),"")</f>
        <v/>
      </c>
      <c r="U9" s="12" t="str">
        <f t="array" ref="U9">IFERROR(INDEX(SpellData!$N$4:$N$20,MATCH(H9,SpellData!$A$4:$A$20,0)),"")</f>
        <v/>
      </c>
      <c r="V9" s="12" t="str">
        <f t="array" ref="V9">IFERROR(INDEX(SpellData!$O$4:$O$20,MATCH(H9,SpellData!$A$4:$A$20,0)),"")</f>
        <v/>
      </c>
      <c r="W9" s="12" t="str">
        <f t="array" ref="W9">IFERROR(INDEX(SpellData!$P$4:$P$20,MATCH(H9,SpellData!$A$4:$A$20,0)),"")</f>
        <v/>
      </c>
      <c r="X9" s="12" t="str">
        <f t="array" ref="X9">IFERROR(INDEX(SpellData!$Q$4:$Q$20,MATCH(H9,SpellData!$A$4:$A$20,0)),"")</f>
        <v/>
      </c>
      <c r="Y9" s="19" t="str">
        <f>IF(M9="Spell Attack",Character!$E$30,"")</f>
        <v/>
      </c>
      <c r="Z9" s="12" t="str">
        <f>IF(N9="Spell DC",Character!$E$31,"")</f>
        <v/>
      </c>
      <c r="AA9" s="12"/>
      <c r="AB9" s="12" t="str">
        <f t="array" ref="AB9">IFERROR(INDEX(SpellData!$R$4:$R$20,MATCH(H9,SpellData!$A$4:$A$20,0)),"")</f>
        <v/>
      </c>
    </row>
    <row r="10">
      <c r="A10" s="12" t="s">
        <v>218</v>
      </c>
      <c r="B10" s="12">
        <v>0.0</v>
      </c>
      <c r="C10" s="12">
        <v>0.0</v>
      </c>
      <c r="E10" s="12"/>
      <c r="F10" s="12"/>
      <c r="G10" s="12"/>
      <c r="H10" s="12"/>
      <c r="I10" s="12" t="str">
        <f t="array" ref="I10">IFERROR(INDEX(SpellData!$B$4:$B$20,MATCH(H10,SpellData!$A$4:$A$20,0)),"")</f>
        <v/>
      </c>
      <c r="J10" s="12" t="str">
        <f t="array" ref="J10">IFERROR(INDEX(SpellData!$C$4:$C$20,MATCH(H10,SpellData!$A$4:$A$20,0)),"")</f>
        <v/>
      </c>
      <c r="K10" s="12" t="str">
        <f t="array" ref="K10">IFERROR(INDEX(SpellData!$D$4:$D$20,MATCH(H10,SpellData!$A$4:$A$20,0)),"")</f>
        <v/>
      </c>
      <c r="L10" s="12" t="str">
        <f t="array" ref="L10">IFERROR(INDEX(SpellData!$E$4:$E$20,MATCH(H10,SpellData!$A$4:$A$20,0)),"")</f>
        <v/>
      </c>
      <c r="M10" s="12" t="str">
        <f t="array" ref="M10">IFERROR(INDEX(SpellData!$F$4:$F$20,MATCH(H10,SpellData!$A$4:$A$20,0)),"")</f>
        <v/>
      </c>
      <c r="N10" s="12" t="str">
        <f t="array" ref="N10">IFERROR(INDEX(SpellData!$G$4:$G$20,MATCH(H10,SpellData!$A$4:$A$20,0)),"")</f>
        <v/>
      </c>
      <c r="O10" s="12" t="str">
        <f t="array" ref="O10">IFERROR(INDEX(SpellData!$H$4:$H$20,MATCH(H10,SpellData!$A$4:$A$20,0)),"")</f>
        <v/>
      </c>
      <c r="P10" s="12" t="str">
        <f t="array" ref="P10">IFERROR(INDEX(SpellData!$I$4:$I$20,MATCH(H10,SpellData!$A$4:$A$20,0)),"")</f>
        <v/>
      </c>
      <c r="Q10" s="12" t="str">
        <f t="array" ref="Q10">IFERROR(INDEX(SpellData!$J$4:$J$20,MATCH(H10,SpellData!$A$4:$A$20,0)),"")</f>
        <v/>
      </c>
      <c r="R10" s="12" t="str">
        <f t="array" ref="R10">IFERROR(INDEX(SpellData!$K$4:$K$20,MATCH(H10,SpellData!$A$4:$A$20,0)),"")</f>
        <v/>
      </c>
      <c r="S10" s="12" t="str">
        <f t="array" ref="S10">IFERROR(INDEX(SpellData!$L$4:$L$20,MATCH(H10,SpellData!$A$4:$A$20,0)),"")</f>
        <v/>
      </c>
      <c r="T10" s="12" t="str">
        <f t="array" ref="T10">IFERROR(INDEX(SpellData!$M$4:$M$20,MATCH(H10,SpellData!$A$4:$A$20,0)),"")</f>
        <v/>
      </c>
      <c r="U10" s="12" t="str">
        <f t="array" ref="U10">IFERROR(INDEX(SpellData!$N$4:$N$20,MATCH(H10,SpellData!$A$4:$A$20,0)),"")</f>
        <v/>
      </c>
      <c r="V10" s="12" t="str">
        <f t="array" ref="V10">IFERROR(INDEX(SpellData!$O$4:$O$20,MATCH(H10,SpellData!$A$4:$A$20,0)),"")</f>
        <v/>
      </c>
      <c r="W10" s="12" t="str">
        <f t="array" ref="W10">IFERROR(INDEX(SpellData!$P$4:$P$20,MATCH(H10,SpellData!$A$4:$A$20,0)),"")</f>
        <v/>
      </c>
      <c r="X10" s="12" t="str">
        <f t="array" ref="X10">IFERROR(INDEX(SpellData!$Q$4:$Q$20,MATCH(H10,SpellData!$A$4:$A$20,0)),"")</f>
        <v/>
      </c>
      <c r="Y10" s="19" t="str">
        <f>IF(M10="Spell Attack",Character!$E$30,"")</f>
        <v/>
      </c>
      <c r="Z10" s="12" t="str">
        <f>IF(N10="Spell DC",Character!$E$31,"")</f>
        <v/>
      </c>
      <c r="AA10" s="12"/>
      <c r="AB10" s="12" t="str">
        <f t="array" ref="AB10">IFERROR(INDEX(SpellData!$R$4:$R$20,MATCH(H10,SpellData!$A$4:$A$20,0)),"")</f>
        <v/>
      </c>
    </row>
    <row r="11">
      <c r="A11" s="12" t="s">
        <v>222</v>
      </c>
      <c r="B11" s="12">
        <v>0.0</v>
      </c>
      <c r="C11" s="12">
        <v>0.0</v>
      </c>
      <c r="E11" s="12"/>
      <c r="F11" s="12"/>
      <c r="G11" s="12"/>
      <c r="H11" s="12"/>
      <c r="I11" s="12" t="str">
        <f t="array" ref="I11">IFERROR(INDEX(SpellData!$B$4:$B$20,MATCH(H11,SpellData!$A$4:$A$20,0)),"")</f>
        <v/>
      </c>
      <c r="J11" s="12" t="str">
        <f t="array" ref="J11">IFERROR(INDEX(SpellData!$C$4:$C$20,MATCH(H11,SpellData!$A$4:$A$20,0)),"")</f>
        <v/>
      </c>
      <c r="K11" s="12" t="str">
        <f t="array" ref="K11">IFERROR(INDEX(SpellData!$D$4:$D$20,MATCH(H11,SpellData!$A$4:$A$20,0)),"")</f>
        <v/>
      </c>
      <c r="L11" s="12" t="str">
        <f t="array" ref="L11">IFERROR(INDEX(SpellData!$E$4:$E$20,MATCH(H11,SpellData!$A$4:$A$20,0)),"")</f>
        <v/>
      </c>
      <c r="M11" s="12" t="str">
        <f t="array" ref="M11">IFERROR(INDEX(SpellData!$F$4:$F$20,MATCH(H11,SpellData!$A$4:$A$20,0)),"")</f>
        <v/>
      </c>
      <c r="N11" s="12" t="str">
        <f t="array" ref="N11">IFERROR(INDEX(SpellData!$G$4:$G$20,MATCH(H11,SpellData!$A$4:$A$20,0)),"")</f>
        <v/>
      </c>
      <c r="O11" s="12" t="str">
        <f t="array" ref="O11">IFERROR(INDEX(SpellData!$H$4:$H$20,MATCH(H11,SpellData!$A$4:$A$20,0)),"")</f>
        <v/>
      </c>
      <c r="P11" s="12" t="str">
        <f t="array" ref="P11">IFERROR(INDEX(SpellData!$I$4:$I$20,MATCH(H11,SpellData!$A$4:$A$20,0)),"")</f>
        <v/>
      </c>
      <c r="Q11" s="12" t="str">
        <f t="array" ref="Q11">IFERROR(INDEX(SpellData!$J$4:$J$20,MATCH(H11,SpellData!$A$4:$A$20,0)),"")</f>
        <v/>
      </c>
      <c r="R11" s="12" t="str">
        <f t="array" ref="R11">IFERROR(INDEX(SpellData!$K$4:$K$20,MATCH(H11,SpellData!$A$4:$A$20,0)),"")</f>
        <v/>
      </c>
      <c r="S11" s="12" t="str">
        <f t="array" ref="S11">IFERROR(INDEX(SpellData!$L$4:$L$20,MATCH(H11,SpellData!$A$4:$A$20,0)),"")</f>
        <v/>
      </c>
      <c r="T11" s="12" t="str">
        <f t="array" ref="T11">IFERROR(INDEX(SpellData!$M$4:$M$20,MATCH(H11,SpellData!$A$4:$A$20,0)),"")</f>
        <v/>
      </c>
      <c r="U11" s="12" t="str">
        <f t="array" ref="U11">IFERROR(INDEX(SpellData!$N$4:$N$20,MATCH(H11,SpellData!$A$4:$A$20,0)),"")</f>
        <v/>
      </c>
      <c r="V11" s="12" t="str">
        <f t="array" ref="V11">IFERROR(INDEX(SpellData!$O$4:$O$20,MATCH(H11,SpellData!$A$4:$A$20,0)),"")</f>
        <v/>
      </c>
      <c r="W11" s="12" t="str">
        <f t="array" ref="W11">IFERROR(INDEX(SpellData!$P$4:$P$20,MATCH(H11,SpellData!$A$4:$A$20,0)),"")</f>
        <v/>
      </c>
      <c r="X11" s="12" t="str">
        <f t="array" ref="X11">IFERROR(INDEX(SpellData!$Q$4:$Q$20,MATCH(H11,SpellData!$A$4:$A$20,0)),"")</f>
        <v/>
      </c>
      <c r="Y11" s="19" t="str">
        <f>IF(M11="Spell Attack",Character!$E$30,"")</f>
        <v/>
      </c>
      <c r="Z11" s="12" t="str">
        <f>IF(N11="Spell DC",Character!$E$31,"")</f>
        <v/>
      </c>
      <c r="AA11" s="12"/>
      <c r="AB11" s="12" t="str">
        <f t="array" ref="AB11">IFERROR(INDEX(SpellData!$R$4:$R$20,MATCH(H11,SpellData!$A$4:$A$20,0)),"")</f>
        <v/>
      </c>
    </row>
    <row r="12">
      <c r="A12" s="12" t="s">
        <v>302</v>
      </c>
      <c r="B12" s="12">
        <v>0.0</v>
      </c>
      <c r="C12" s="12">
        <v>0.0</v>
      </c>
      <c r="E12" s="12"/>
      <c r="F12" s="12"/>
      <c r="G12" s="12"/>
      <c r="H12" s="12"/>
      <c r="I12" s="12" t="str">
        <f t="array" ref="I12">IFERROR(INDEX(SpellData!$B$4:$B$20,MATCH(H12,SpellData!$A$4:$A$20,0)),"")</f>
        <v/>
      </c>
      <c r="J12" s="12" t="str">
        <f t="array" ref="J12">IFERROR(INDEX(SpellData!$C$4:$C$20,MATCH(H12,SpellData!$A$4:$A$20,0)),"")</f>
        <v/>
      </c>
      <c r="K12" s="12" t="str">
        <f t="array" ref="K12">IFERROR(INDEX(SpellData!$D$4:$D$20,MATCH(H12,SpellData!$A$4:$A$20,0)),"")</f>
        <v/>
      </c>
      <c r="L12" s="12" t="str">
        <f t="array" ref="L12">IFERROR(INDEX(SpellData!$E$4:$E$20,MATCH(H12,SpellData!$A$4:$A$20,0)),"")</f>
        <v/>
      </c>
      <c r="M12" s="12" t="str">
        <f t="array" ref="M12">IFERROR(INDEX(SpellData!$F$4:$F$20,MATCH(H12,SpellData!$A$4:$A$20,0)),"")</f>
        <v/>
      </c>
      <c r="N12" s="12" t="str">
        <f t="array" ref="N12">IFERROR(INDEX(SpellData!$G$4:$G$20,MATCH(H12,SpellData!$A$4:$A$20,0)),"")</f>
        <v/>
      </c>
      <c r="O12" s="12" t="str">
        <f t="array" ref="O12">IFERROR(INDEX(SpellData!$H$4:$H$20,MATCH(H12,SpellData!$A$4:$A$20,0)),"")</f>
        <v/>
      </c>
      <c r="P12" s="12" t="str">
        <f t="array" ref="P12">IFERROR(INDEX(SpellData!$I$4:$I$20,MATCH(H12,SpellData!$A$4:$A$20,0)),"")</f>
        <v/>
      </c>
      <c r="Q12" s="12" t="str">
        <f t="array" ref="Q12">IFERROR(INDEX(SpellData!$J$4:$J$20,MATCH(H12,SpellData!$A$4:$A$20,0)),"")</f>
        <v/>
      </c>
      <c r="R12" s="12" t="str">
        <f t="array" ref="R12">IFERROR(INDEX(SpellData!$K$4:$K$20,MATCH(H12,SpellData!$A$4:$A$20,0)),"")</f>
        <v/>
      </c>
      <c r="S12" s="12" t="str">
        <f t="array" ref="S12">IFERROR(INDEX(SpellData!$L$4:$L$20,MATCH(H12,SpellData!$A$4:$A$20,0)),"")</f>
        <v/>
      </c>
      <c r="T12" s="12" t="str">
        <f t="array" ref="T12">IFERROR(INDEX(SpellData!$M$4:$M$20,MATCH(H12,SpellData!$A$4:$A$20,0)),"")</f>
        <v/>
      </c>
      <c r="U12" s="12" t="str">
        <f t="array" ref="U12">IFERROR(INDEX(SpellData!$N$4:$N$20,MATCH(H12,SpellData!$A$4:$A$20,0)),"")</f>
        <v/>
      </c>
      <c r="V12" s="12" t="str">
        <f t="array" ref="V12">IFERROR(INDEX(SpellData!$O$4:$O$20,MATCH(H12,SpellData!$A$4:$A$20,0)),"")</f>
        <v/>
      </c>
      <c r="W12" s="12" t="str">
        <f t="array" ref="W12">IFERROR(INDEX(SpellData!$P$4:$P$20,MATCH(H12,SpellData!$A$4:$A$20,0)),"")</f>
        <v/>
      </c>
      <c r="X12" s="12" t="str">
        <f t="array" ref="X12">IFERROR(INDEX(SpellData!$Q$4:$Q$20,MATCH(H12,SpellData!$A$4:$A$20,0)),"")</f>
        <v/>
      </c>
      <c r="Y12" s="19" t="str">
        <f>IF(M12="Spell Attack",Character!$E$30,"")</f>
        <v/>
      </c>
      <c r="Z12" s="12" t="str">
        <f>IF(N12="Spell DC",Character!$E$31,"")</f>
        <v/>
      </c>
      <c r="AA12" s="12"/>
      <c r="AB12" s="12" t="str">
        <f t="array" ref="AB12">IFERROR(INDEX(SpellData!$R$4:$R$20,MATCH(H12,SpellData!$A$4:$A$20,0)),"")</f>
        <v/>
      </c>
    </row>
    <row r="13">
      <c r="A13" s="12" t="s">
        <v>322</v>
      </c>
      <c r="B13" s="12">
        <v>0.0</v>
      </c>
      <c r="C13" s="12">
        <v>0.0</v>
      </c>
      <c r="E13" s="12"/>
      <c r="F13" s="12"/>
      <c r="G13" s="12"/>
      <c r="H13" s="12"/>
      <c r="I13" s="12" t="str">
        <f t="array" ref="I13">IFERROR(INDEX(SpellData!$B$4:$B$20,MATCH(H13,SpellData!$A$4:$A$20,0)),"")</f>
        <v/>
      </c>
      <c r="J13" s="12" t="str">
        <f t="array" ref="J13">IFERROR(INDEX(SpellData!$C$4:$C$20,MATCH(H13,SpellData!$A$4:$A$20,0)),"")</f>
        <v/>
      </c>
      <c r="K13" s="12" t="str">
        <f t="array" ref="K13">IFERROR(INDEX(SpellData!$D$4:$D$20,MATCH(H13,SpellData!$A$4:$A$20,0)),"")</f>
        <v/>
      </c>
      <c r="L13" s="12" t="str">
        <f t="array" ref="L13">IFERROR(INDEX(SpellData!$E$4:$E$20,MATCH(H13,SpellData!$A$4:$A$20,0)),"")</f>
        <v/>
      </c>
      <c r="M13" s="12" t="str">
        <f t="array" ref="M13">IFERROR(INDEX(SpellData!$F$4:$F$20,MATCH(H13,SpellData!$A$4:$A$20,0)),"")</f>
        <v/>
      </c>
      <c r="N13" s="12" t="str">
        <f t="array" ref="N13">IFERROR(INDEX(SpellData!$G$4:$G$20,MATCH(H13,SpellData!$A$4:$A$20,0)),"")</f>
        <v/>
      </c>
      <c r="O13" s="12" t="str">
        <f t="array" ref="O13">IFERROR(INDEX(SpellData!$H$4:$H$20,MATCH(H13,SpellData!$A$4:$A$20,0)),"")</f>
        <v/>
      </c>
      <c r="P13" s="12" t="str">
        <f t="array" ref="P13">IFERROR(INDEX(SpellData!$I$4:$I$20,MATCH(H13,SpellData!$A$4:$A$20,0)),"")</f>
        <v/>
      </c>
      <c r="Q13" s="12" t="str">
        <f t="array" ref="Q13">IFERROR(INDEX(SpellData!$J$4:$J$20,MATCH(H13,SpellData!$A$4:$A$20,0)),"")</f>
        <v/>
      </c>
      <c r="R13" s="12" t="str">
        <f t="array" ref="R13">IFERROR(INDEX(SpellData!$K$4:$K$20,MATCH(H13,SpellData!$A$4:$A$20,0)),"")</f>
        <v/>
      </c>
      <c r="S13" s="12" t="str">
        <f t="array" ref="S13">IFERROR(INDEX(SpellData!$L$4:$L$20,MATCH(H13,SpellData!$A$4:$A$20,0)),"")</f>
        <v/>
      </c>
      <c r="T13" s="12" t="str">
        <f t="array" ref="T13">IFERROR(INDEX(SpellData!$M$4:$M$20,MATCH(H13,SpellData!$A$4:$A$20,0)),"")</f>
        <v/>
      </c>
      <c r="U13" s="12" t="str">
        <f t="array" ref="U13">IFERROR(INDEX(SpellData!$N$4:$N$20,MATCH(H13,SpellData!$A$4:$A$20,0)),"")</f>
        <v/>
      </c>
      <c r="V13" s="12" t="str">
        <f t="array" ref="V13">IFERROR(INDEX(SpellData!$O$4:$O$20,MATCH(H13,SpellData!$A$4:$A$20,0)),"")</f>
        <v/>
      </c>
      <c r="W13" s="12" t="str">
        <f t="array" ref="W13">IFERROR(INDEX(SpellData!$P$4:$P$20,MATCH(H13,SpellData!$A$4:$A$20,0)),"")</f>
        <v/>
      </c>
      <c r="X13" s="12" t="str">
        <f t="array" ref="X13">IFERROR(INDEX(SpellData!$Q$4:$Q$20,MATCH(H13,SpellData!$A$4:$A$20,0)),"")</f>
        <v/>
      </c>
      <c r="Y13" s="19" t="str">
        <f>IF(M13="Spell Attack",Character!$E$30,"")</f>
        <v/>
      </c>
      <c r="Z13" s="12" t="str">
        <f>IF(N13="Spell DC",Character!$E$31,"")</f>
        <v/>
      </c>
      <c r="AA13" s="12"/>
      <c r="AB13" s="12" t="str">
        <f t="array" ref="AB13">IFERROR(INDEX(SpellData!$R$4:$R$20,MATCH(H13,SpellData!$A$4:$A$20,0)),"")</f>
        <v/>
      </c>
    </row>
    <row r="14">
      <c r="A14" s="12" t="s">
        <v>348</v>
      </c>
      <c r="B14" s="12">
        <v>0.0</v>
      </c>
      <c r="C14" s="12">
        <v>0.0</v>
      </c>
      <c r="E14" s="12"/>
      <c r="F14" s="12"/>
      <c r="G14" s="12"/>
      <c r="H14" s="12"/>
      <c r="I14" s="12" t="str">
        <f t="array" ref="I14">IFERROR(INDEX(SpellData!$B$4:$B$20,MATCH(H14,SpellData!$A$4:$A$20,0)),"")</f>
        <v/>
      </c>
      <c r="J14" s="12" t="str">
        <f t="array" ref="J14">IFERROR(INDEX(SpellData!$C$4:$C$20,MATCH(H14,SpellData!$A$4:$A$20,0)),"")</f>
        <v/>
      </c>
      <c r="K14" s="12" t="str">
        <f t="array" ref="K14">IFERROR(INDEX(SpellData!$D$4:$D$20,MATCH(H14,SpellData!$A$4:$A$20,0)),"")</f>
        <v/>
      </c>
      <c r="L14" s="12" t="str">
        <f t="array" ref="L14">IFERROR(INDEX(SpellData!$E$4:$E$20,MATCH(H14,SpellData!$A$4:$A$20,0)),"")</f>
        <v/>
      </c>
      <c r="M14" s="12" t="str">
        <f t="array" ref="M14">IFERROR(INDEX(SpellData!$F$4:$F$20,MATCH(H14,SpellData!$A$4:$A$20,0)),"")</f>
        <v/>
      </c>
      <c r="N14" s="12" t="str">
        <f t="array" ref="N14">IFERROR(INDEX(SpellData!$G$4:$G$20,MATCH(H14,SpellData!$A$4:$A$20,0)),"")</f>
        <v/>
      </c>
      <c r="O14" s="12" t="str">
        <f t="array" ref="O14">IFERROR(INDEX(SpellData!$H$4:$H$20,MATCH(H14,SpellData!$A$4:$A$20,0)),"")</f>
        <v/>
      </c>
      <c r="P14" s="12" t="str">
        <f t="array" ref="P14">IFERROR(INDEX(SpellData!$I$4:$I$20,MATCH(H14,SpellData!$A$4:$A$20,0)),"")</f>
        <v/>
      </c>
      <c r="Q14" s="12" t="str">
        <f t="array" ref="Q14">IFERROR(INDEX(SpellData!$J$4:$J$20,MATCH(H14,SpellData!$A$4:$A$20,0)),"")</f>
        <v/>
      </c>
      <c r="R14" s="12" t="str">
        <f t="array" ref="R14">IFERROR(INDEX(SpellData!$K$4:$K$20,MATCH(H14,SpellData!$A$4:$A$20,0)),"")</f>
        <v/>
      </c>
      <c r="S14" s="12" t="str">
        <f t="array" ref="S14">IFERROR(INDEX(SpellData!$L$4:$L$20,MATCH(H14,SpellData!$A$4:$A$20,0)),"")</f>
        <v/>
      </c>
      <c r="T14" s="12" t="str">
        <f t="array" ref="T14">IFERROR(INDEX(SpellData!$M$4:$M$20,MATCH(H14,SpellData!$A$4:$A$20,0)),"")</f>
        <v/>
      </c>
      <c r="U14" s="12" t="str">
        <f t="array" ref="U14">IFERROR(INDEX(SpellData!$N$4:$N$20,MATCH(H14,SpellData!$A$4:$A$20,0)),"")</f>
        <v/>
      </c>
      <c r="V14" s="12" t="str">
        <f t="array" ref="V14">IFERROR(INDEX(SpellData!$O$4:$O$20,MATCH(H14,SpellData!$A$4:$A$20,0)),"")</f>
        <v/>
      </c>
      <c r="W14" s="12" t="str">
        <f t="array" ref="W14">IFERROR(INDEX(SpellData!$P$4:$P$20,MATCH(H14,SpellData!$A$4:$A$20,0)),"")</f>
        <v/>
      </c>
      <c r="X14" s="12" t="str">
        <f t="array" ref="X14">IFERROR(INDEX(SpellData!$Q$4:$Q$20,MATCH(H14,SpellData!$A$4:$A$20,0)),"")</f>
        <v/>
      </c>
      <c r="Y14" s="19" t="str">
        <f>IF(M14="Spell Attack",Character!$E$30,"")</f>
        <v/>
      </c>
      <c r="Z14" s="12" t="str">
        <f>IF(N14="Spell DC",Character!$E$31,"")</f>
        <v/>
      </c>
      <c r="AA14" s="12"/>
      <c r="AB14" s="12" t="str">
        <f t="array" ref="AB14">IFERROR(INDEX(SpellData!$R$4:$R$20,MATCH(H14,SpellData!$A$4:$A$20,0)),"")</f>
        <v/>
      </c>
    </row>
    <row r="15">
      <c r="E15" s="12"/>
      <c r="F15" s="12"/>
      <c r="G15" s="12"/>
      <c r="H15" s="12"/>
      <c r="I15" s="12" t="str">
        <f t="array" ref="I15">IFERROR(INDEX(SpellData!$B$4:$B$20,MATCH(H15,SpellData!$A$4:$A$20,0)),"")</f>
        <v/>
      </c>
      <c r="J15" s="12" t="str">
        <f t="array" ref="J15">IFERROR(INDEX(SpellData!$C$4:$C$20,MATCH(H15,SpellData!$A$4:$A$20,0)),"")</f>
        <v/>
      </c>
      <c r="K15" s="12" t="str">
        <f t="array" ref="K15">IFERROR(INDEX(SpellData!$D$4:$D$20,MATCH(H15,SpellData!$A$4:$A$20,0)),"")</f>
        <v/>
      </c>
      <c r="L15" s="12" t="str">
        <f t="array" ref="L15">IFERROR(INDEX(SpellData!$E$4:$E$20,MATCH(H15,SpellData!$A$4:$A$20,0)),"")</f>
        <v/>
      </c>
      <c r="M15" s="12" t="str">
        <f t="array" ref="M15">IFERROR(INDEX(SpellData!$F$4:$F$20,MATCH(H15,SpellData!$A$4:$A$20,0)),"")</f>
        <v/>
      </c>
      <c r="N15" s="12" t="str">
        <f t="array" ref="N15">IFERROR(INDEX(SpellData!$G$4:$G$20,MATCH(H15,SpellData!$A$4:$A$20,0)),"")</f>
        <v/>
      </c>
      <c r="O15" s="12" t="str">
        <f t="array" ref="O15">IFERROR(INDEX(SpellData!$H$4:$H$20,MATCH(H15,SpellData!$A$4:$A$20,0)),"")</f>
        <v/>
      </c>
      <c r="P15" s="12" t="str">
        <f t="array" ref="P15">IFERROR(INDEX(SpellData!$I$4:$I$20,MATCH(H15,SpellData!$A$4:$A$20,0)),"")</f>
        <v/>
      </c>
      <c r="Q15" s="12" t="str">
        <f t="array" ref="Q15">IFERROR(INDEX(SpellData!$J$4:$J$20,MATCH(H15,SpellData!$A$4:$A$20,0)),"")</f>
        <v/>
      </c>
      <c r="R15" s="12" t="str">
        <f t="array" ref="R15">IFERROR(INDEX(SpellData!$K$4:$K$20,MATCH(H15,SpellData!$A$4:$A$20,0)),"")</f>
        <v/>
      </c>
      <c r="S15" s="12" t="str">
        <f t="array" ref="S15">IFERROR(INDEX(SpellData!$L$4:$L$20,MATCH(H15,SpellData!$A$4:$A$20,0)),"")</f>
        <v/>
      </c>
      <c r="T15" s="12" t="str">
        <f t="array" ref="T15">IFERROR(INDEX(SpellData!$M$4:$M$20,MATCH(H15,SpellData!$A$4:$A$20,0)),"")</f>
        <v/>
      </c>
      <c r="U15" s="12" t="str">
        <f t="array" ref="U15">IFERROR(INDEX(SpellData!$N$4:$N$20,MATCH(H15,SpellData!$A$4:$A$20,0)),"")</f>
        <v/>
      </c>
      <c r="V15" s="12" t="str">
        <f t="array" ref="V15">IFERROR(INDEX(SpellData!$O$4:$O$20,MATCH(H15,SpellData!$A$4:$A$20,0)),"")</f>
        <v/>
      </c>
      <c r="W15" s="12" t="str">
        <f t="array" ref="W15">IFERROR(INDEX(SpellData!$P$4:$P$20,MATCH(H15,SpellData!$A$4:$A$20,0)),"")</f>
        <v/>
      </c>
      <c r="X15" s="12" t="str">
        <f t="array" ref="X15">IFERROR(INDEX(SpellData!$Q$4:$Q$20,MATCH(H15,SpellData!$A$4:$A$20,0)),"")</f>
        <v/>
      </c>
      <c r="Y15" s="19" t="str">
        <f>IF(M15="Spell Attack",Character!$E$30,"")</f>
        <v/>
      </c>
      <c r="Z15" s="12" t="str">
        <f>IF(N15="Spell DC",Character!$E$31,"")</f>
        <v/>
      </c>
      <c r="AA15" s="12"/>
      <c r="AB15" s="12" t="str">
        <f t="array" ref="AB15">IFERROR(INDEX(SpellData!$R$4:$R$20,MATCH(H15,SpellData!$A$4:$A$20,0)),"")</f>
        <v/>
      </c>
    </row>
    <row r="16">
      <c r="E16" s="12"/>
      <c r="F16" s="12"/>
      <c r="G16" s="12"/>
      <c r="H16" s="12"/>
      <c r="I16" s="12" t="str">
        <f t="array" ref="I16">IFERROR(INDEX(SpellData!$B$4:$B$20,MATCH(H16,SpellData!$A$4:$A$20,0)),"")</f>
        <v/>
      </c>
      <c r="J16" s="12" t="str">
        <f t="array" ref="J16">IFERROR(INDEX(SpellData!$C$4:$C$20,MATCH(H16,SpellData!$A$4:$A$20,0)),"")</f>
        <v/>
      </c>
      <c r="K16" s="12" t="str">
        <f t="array" ref="K16">IFERROR(INDEX(SpellData!$D$4:$D$20,MATCH(H16,SpellData!$A$4:$A$20,0)),"")</f>
        <v/>
      </c>
      <c r="L16" s="12" t="str">
        <f t="array" ref="L16">IFERROR(INDEX(SpellData!$E$4:$E$20,MATCH(H16,SpellData!$A$4:$A$20,0)),"")</f>
        <v/>
      </c>
      <c r="M16" s="12" t="str">
        <f t="array" ref="M16">IFERROR(INDEX(SpellData!$F$4:$F$20,MATCH(H16,SpellData!$A$4:$A$20,0)),"")</f>
        <v/>
      </c>
      <c r="N16" s="12" t="str">
        <f t="array" ref="N16">IFERROR(INDEX(SpellData!$G$4:$G$20,MATCH(H16,SpellData!$A$4:$A$20,0)),"")</f>
        <v/>
      </c>
      <c r="O16" s="12" t="str">
        <f t="array" ref="O16">IFERROR(INDEX(SpellData!$H$4:$H$20,MATCH(H16,SpellData!$A$4:$A$20,0)),"")</f>
        <v/>
      </c>
      <c r="P16" s="12" t="str">
        <f t="array" ref="P16">IFERROR(INDEX(SpellData!$I$4:$I$20,MATCH(H16,SpellData!$A$4:$A$20,0)),"")</f>
        <v/>
      </c>
      <c r="Q16" s="12" t="str">
        <f t="array" ref="Q16">IFERROR(INDEX(SpellData!$J$4:$J$20,MATCH(H16,SpellData!$A$4:$A$20,0)),"")</f>
        <v/>
      </c>
      <c r="R16" s="12" t="str">
        <f t="array" ref="R16">IFERROR(INDEX(SpellData!$K$4:$K$20,MATCH(H16,SpellData!$A$4:$A$20,0)),"")</f>
        <v/>
      </c>
      <c r="S16" s="12" t="str">
        <f t="array" ref="S16">IFERROR(INDEX(SpellData!$L$4:$L$20,MATCH(H16,SpellData!$A$4:$A$20,0)),"")</f>
        <v/>
      </c>
      <c r="T16" s="12" t="str">
        <f t="array" ref="T16">IFERROR(INDEX(SpellData!$M$4:$M$20,MATCH(H16,SpellData!$A$4:$A$20,0)),"")</f>
        <v/>
      </c>
      <c r="U16" s="12" t="str">
        <f t="array" ref="U16">IFERROR(INDEX(SpellData!$N$4:$N$20,MATCH(H16,SpellData!$A$4:$A$20,0)),"")</f>
        <v/>
      </c>
      <c r="V16" s="12" t="str">
        <f t="array" ref="V16">IFERROR(INDEX(SpellData!$O$4:$O$20,MATCH(H16,SpellData!$A$4:$A$20,0)),"")</f>
        <v/>
      </c>
      <c r="W16" s="12" t="str">
        <f t="array" ref="W16">IFERROR(INDEX(SpellData!$P$4:$P$20,MATCH(H16,SpellData!$A$4:$A$20,0)),"")</f>
        <v/>
      </c>
      <c r="X16" s="12" t="str">
        <f t="array" ref="X16">IFERROR(INDEX(SpellData!$Q$4:$Q$20,MATCH(H16,SpellData!$A$4:$A$20,0)),"")</f>
        <v/>
      </c>
      <c r="Y16" s="19" t="str">
        <f>IF(M16="Spell Attack",Character!$E$30,"")</f>
        <v/>
      </c>
      <c r="Z16" s="12" t="str">
        <f>IF(N16="Spell DC",Character!$E$31,"")</f>
        <v/>
      </c>
      <c r="AA16" s="12"/>
      <c r="AB16" s="12" t="str">
        <f t="array" ref="AB16">IFERROR(INDEX(SpellData!$R$4:$R$20,MATCH(H16,SpellData!$A$4:$A$20,0)),"")</f>
        <v/>
      </c>
    </row>
    <row r="17">
      <c r="E17" s="12"/>
      <c r="F17" s="12"/>
      <c r="G17" s="12"/>
      <c r="H17" s="12"/>
      <c r="I17" s="12" t="str">
        <f t="array" ref="I17">IFERROR(INDEX(SpellData!$B$4:$B$20,MATCH(H17,SpellData!$A$4:$A$20,0)),"")</f>
        <v/>
      </c>
      <c r="J17" s="12" t="str">
        <f t="array" ref="J17">IFERROR(INDEX(SpellData!$C$4:$C$20,MATCH(H17,SpellData!$A$4:$A$20,0)),"")</f>
        <v/>
      </c>
      <c r="K17" s="12" t="str">
        <f t="array" ref="K17">IFERROR(INDEX(SpellData!$D$4:$D$20,MATCH(H17,SpellData!$A$4:$A$20,0)),"")</f>
        <v/>
      </c>
      <c r="L17" s="12" t="str">
        <f t="array" ref="L17">IFERROR(INDEX(SpellData!$E$4:$E$20,MATCH(H17,SpellData!$A$4:$A$20,0)),"")</f>
        <v/>
      </c>
      <c r="M17" s="12" t="str">
        <f t="array" ref="M17">IFERROR(INDEX(SpellData!$F$4:$F$20,MATCH(H17,SpellData!$A$4:$A$20,0)),"")</f>
        <v/>
      </c>
      <c r="N17" s="12" t="str">
        <f t="array" ref="N17">IFERROR(INDEX(SpellData!$G$4:$G$20,MATCH(H17,SpellData!$A$4:$A$20,0)),"")</f>
        <v/>
      </c>
      <c r="O17" s="12" t="str">
        <f t="array" ref="O17">IFERROR(INDEX(SpellData!$H$4:$H$20,MATCH(H17,SpellData!$A$4:$A$20,0)),"")</f>
        <v/>
      </c>
      <c r="P17" s="12" t="str">
        <f t="array" ref="P17">IFERROR(INDEX(SpellData!$I$4:$I$20,MATCH(H17,SpellData!$A$4:$A$20,0)),"")</f>
        <v/>
      </c>
      <c r="Q17" s="12" t="str">
        <f t="array" ref="Q17">IFERROR(INDEX(SpellData!$J$4:$J$20,MATCH(H17,SpellData!$A$4:$A$20,0)),"")</f>
        <v/>
      </c>
      <c r="R17" s="12" t="str">
        <f t="array" ref="R17">IFERROR(INDEX(SpellData!$K$4:$K$20,MATCH(H17,SpellData!$A$4:$A$20,0)),"")</f>
        <v/>
      </c>
      <c r="S17" s="12" t="str">
        <f t="array" ref="S17">IFERROR(INDEX(SpellData!$L$4:$L$20,MATCH(H17,SpellData!$A$4:$A$20,0)),"")</f>
        <v/>
      </c>
      <c r="T17" s="12" t="str">
        <f t="array" ref="T17">IFERROR(INDEX(SpellData!$M$4:$M$20,MATCH(H17,SpellData!$A$4:$A$20,0)),"")</f>
        <v/>
      </c>
      <c r="U17" s="12" t="str">
        <f t="array" ref="U17">IFERROR(INDEX(SpellData!$N$4:$N$20,MATCH(H17,SpellData!$A$4:$A$20,0)),"")</f>
        <v/>
      </c>
      <c r="V17" s="12" t="str">
        <f t="array" ref="V17">IFERROR(INDEX(SpellData!$O$4:$O$20,MATCH(H17,SpellData!$A$4:$A$20,0)),"")</f>
        <v/>
      </c>
      <c r="W17" s="12" t="str">
        <f t="array" ref="W17">IFERROR(INDEX(SpellData!$P$4:$P$20,MATCH(H17,SpellData!$A$4:$A$20,0)),"")</f>
        <v/>
      </c>
      <c r="X17" s="12" t="str">
        <f t="array" ref="X17">IFERROR(INDEX(SpellData!$Q$4:$Q$20,MATCH(H17,SpellData!$A$4:$A$20,0)),"")</f>
        <v/>
      </c>
      <c r="Y17" s="19" t="str">
        <f>IF(M17="Spell Attack",Character!$E$30,"")</f>
        <v/>
      </c>
      <c r="Z17" s="12" t="str">
        <f>IF(N17="Spell DC",Character!$E$31,"")</f>
        <v/>
      </c>
      <c r="AA17" s="12"/>
      <c r="AB17" s="12" t="str">
        <f t="array" ref="AB17">IFERROR(INDEX(SpellData!$R$4:$R$20,MATCH(H17,SpellData!$A$4:$A$20,0)),"")</f>
        <v/>
      </c>
    </row>
    <row r="18">
      <c r="E18" s="12"/>
      <c r="F18" s="12"/>
      <c r="G18" s="12"/>
      <c r="H18" s="12"/>
      <c r="I18" s="12" t="str">
        <f t="array" ref="I18">IFERROR(INDEX(SpellData!$B$4:$B$20,MATCH(H18,SpellData!$A$4:$A$20,0)),"")</f>
        <v/>
      </c>
      <c r="J18" s="12" t="str">
        <f t="array" ref="J18">IFERROR(INDEX(SpellData!$C$4:$C$20,MATCH(H18,SpellData!$A$4:$A$20,0)),"")</f>
        <v/>
      </c>
      <c r="K18" s="12" t="str">
        <f t="array" ref="K18">IFERROR(INDEX(SpellData!$D$4:$D$20,MATCH(H18,SpellData!$A$4:$A$20,0)),"")</f>
        <v/>
      </c>
      <c r="L18" s="12" t="str">
        <f t="array" ref="L18">IFERROR(INDEX(SpellData!$E$4:$E$20,MATCH(H18,SpellData!$A$4:$A$20,0)),"")</f>
        <v/>
      </c>
      <c r="M18" s="12" t="str">
        <f t="array" ref="M18">IFERROR(INDEX(SpellData!$F$4:$F$20,MATCH(H18,SpellData!$A$4:$A$20,0)),"")</f>
        <v/>
      </c>
      <c r="N18" s="12" t="str">
        <f t="array" ref="N18">IFERROR(INDEX(SpellData!$G$4:$G$20,MATCH(H18,SpellData!$A$4:$A$20,0)),"")</f>
        <v/>
      </c>
      <c r="O18" s="12" t="str">
        <f t="array" ref="O18">IFERROR(INDEX(SpellData!$H$4:$H$20,MATCH(H18,SpellData!$A$4:$A$20,0)),"")</f>
        <v/>
      </c>
      <c r="P18" s="12" t="str">
        <f t="array" ref="P18">IFERROR(INDEX(SpellData!$I$4:$I$20,MATCH(H18,SpellData!$A$4:$A$20,0)),"")</f>
        <v/>
      </c>
      <c r="Q18" s="12" t="str">
        <f t="array" ref="Q18">IFERROR(INDEX(SpellData!$J$4:$J$20,MATCH(H18,SpellData!$A$4:$A$20,0)),"")</f>
        <v/>
      </c>
      <c r="R18" s="12" t="str">
        <f t="array" ref="R18">IFERROR(INDEX(SpellData!$K$4:$K$20,MATCH(H18,SpellData!$A$4:$A$20,0)),"")</f>
        <v/>
      </c>
      <c r="S18" s="12" t="str">
        <f t="array" ref="S18">IFERROR(INDEX(SpellData!$L$4:$L$20,MATCH(H18,SpellData!$A$4:$A$20,0)),"")</f>
        <v/>
      </c>
      <c r="T18" s="12" t="str">
        <f t="array" ref="T18">IFERROR(INDEX(SpellData!$M$4:$M$20,MATCH(H18,SpellData!$A$4:$A$20,0)),"")</f>
        <v/>
      </c>
      <c r="U18" s="12" t="str">
        <f t="array" ref="U18">IFERROR(INDEX(SpellData!$N$4:$N$20,MATCH(H18,SpellData!$A$4:$A$20,0)),"")</f>
        <v/>
      </c>
      <c r="V18" s="12" t="str">
        <f t="array" ref="V18">IFERROR(INDEX(SpellData!$O$4:$O$20,MATCH(H18,SpellData!$A$4:$A$20,0)),"")</f>
        <v/>
      </c>
      <c r="W18" s="12" t="str">
        <f t="array" ref="W18">IFERROR(INDEX(SpellData!$P$4:$P$20,MATCH(H18,SpellData!$A$4:$A$20,0)),"")</f>
        <v/>
      </c>
      <c r="X18" s="12" t="str">
        <f t="array" ref="X18">IFERROR(INDEX(SpellData!$Q$4:$Q$20,MATCH(H18,SpellData!$A$4:$A$20,0)),"")</f>
        <v/>
      </c>
      <c r="Y18" s="19" t="str">
        <f>IF(M18="Spell Attack",Character!$E$30,"")</f>
        <v/>
      </c>
      <c r="Z18" s="12" t="str">
        <f>IF(N18="Spell DC",Character!$E$31,"")</f>
        <v/>
      </c>
      <c r="AA18" s="12"/>
      <c r="AB18" s="12" t="str">
        <f t="array" ref="AB18">IFERROR(INDEX(SpellData!$R$4:$R$20,MATCH(H18,SpellData!$A$4:$A$20,0)),"")</f>
        <v/>
      </c>
    </row>
    <row r="19">
      <c r="E19" s="12"/>
      <c r="F19" s="12"/>
      <c r="G19" s="12"/>
      <c r="H19" s="12"/>
      <c r="I19" s="12" t="str">
        <f t="array" ref="I19">IFERROR(INDEX(SpellData!$B$4:$B$20,MATCH(H19,SpellData!$A$4:$A$20,0)),"")</f>
        <v/>
      </c>
      <c r="J19" s="12" t="str">
        <f t="array" ref="J19">IFERROR(INDEX(SpellData!$C$4:$C$20,MATCH(H19,SpellData!$A$4:$A$20,0)),"")</f>
        <v/>
      </c>
      <c r="K19" s="12" t="str">
        <f t="array" ref="K19">IFERROR(INDEX(SpellData!$D$4:$D$20,MATCH(H19,SpellData!$A$4:$A$20,0)),"")</f>
        <v/>
      </c>
      <c r="L19" s="12" t="str">
        <f t="array" ref="L19">IFERROR(INDEX(SpellData!$E$4:$E$20,MATCH(H19,SpellData!$A$4:$A$20,0)),"")</f>
        <v/>
      </c>
      <c r="M19" s="12" t="str">
        <f t="array" ref="M19">IFERROR(INDEX(SpellData!$F$4:$F$20,MATCH(H19,SpellData!$A$4:$A$20,0)),"")</f>
        <v/>
      </c>
      <c r="N19" s="12" t="str">
        <f t="array" ref="N19">IFERROR(INDEX(SpellData!$G$4:$G$20,MATCH(H19,SpellData!$A$4:$A$20,0)),"")</f>
        <v/>
      </c>
      <c r="O19" s="12" t="str">
        <f t="array" ref="O19">IFERROR(INDEX(SpellData!$H$4:$H$20,MATCH(H19,SpellData!$A$4:$A$20,0)),"")</f>
        <v/>
      </c>
      <c r="P19" s="12" t="str">
        <f t="array" ref="P19">IFERROR(INDEX(SpellData!$I$4:$I$20,MATCH(H19,SpellData!$A$4:$A$20,0)),"")</f>
        <v/>
      </c>
      <c r="Q19" s="12" t="str">
        <f t="array" ref="Q19">IFERROR(INDEX(SpellData!$J$4:$J$20,MATCH(H19,SpellData!$A$4:$A$20,0)),"")</f>
        <v/>
      </c>
      <c r="R19" s="12" t="str">
        <f t="array" ref="R19">IFERROR(INDEX(SpellData!$K$4:$K$20,MATCH(H19,SpellData!$A$4:$A$20,0)),"")</f>
        <v/>
      </c>
      <c r="S19" s="12" t="str">
        <f t="array" ref="S19">IFERROR(INDEX(SpellData!$L$4:$L$20,MATCH(H19,SpellData!$A$4:$A$20,0)),"")</f>
        <v/>
      </c>
      <c r="T19" s="12" t="str">
        <f t="array" ref="T19">IFERROR(INDEX(SpellData!$M$4:$M$20,MATCH(H19,SpellData!$A$4:$A$20,0)),"")</f>
        <v/>
      </c>
      <c r="U19" s="12" t="str">
        <f t="array" ref="U19">IFERROR(INDEX(SpellData!$N$4:$N$20,MATCH(H19,SpellData!$A$4:$A$20,0)),"")</f>
        <v/>
      </c>
      <c r="V19" s="12" t="str">
        <f t="array" ref="V19">IFERROR(INDEX(SpellData!$O$4:$O$20,MATCH(H19,SpellData!$A$4:$A$20,0)),"")</f>
        <v/>
      </c>
      <c r="W19" s="12" t="str">
        <f t="array" ref="W19">IFERROR(INDEX(SpellData!$P$4:$P$20,MATCH(H19,SpellData!$A$4:$A$20,0)),"")</f>
        <v/>
      </c>
      <c r="X19" s="12" t="str">
        <f t="array" ref="X19">IFERROR(INDEX(SpellData!$Q$4:$Q$20,MATCH(H19,SpellData!$A$4:$A$20,0)),"")</f>
        <v/>
      </c>
      <c r="Y19" s="19" t="str">
        <f>IF(M19="Spell Attack",Character!$E$30,"")</f>
        <v/>
      </c>
      <c r="Z19" s="12" t="str">
        <f>IF(N19="Spell DC",Character!$E$31,"")</f>
        <v/>
      </c>
      <c r="AA19" s="12"/>
      <c r="AB19" s="12" t="str">
        <f t="array" ref="AB19">IFERROR(INDEX(SpellData!$R$4:$R$20,MATCH(H19,SpellData!$A$4:$A$20,0)),"")</f>
        <v/>
      </c>
    </row>
    <row r="20">
      <c r="E20" s="12"/>
      <c r="F20" s="12"/>
      <c r="G20" s="12"/>
      <c r="H20" s="12"/>
      <c r="I20" s="12" t="str">
        <f t="array" ref="I20">IFERROR(INDEX(SpellData!$B$4:$B$20,MATCH(H20,SpellData!$A$4:$A$20,0)),"")</f>
        <v/>
      </c>
      <c r="J20" s="12" t="str">
        <f t="array" ref="J20">IFERROR(INDEX(SpellData!$C$4:$C$20,MATCH(H20,SpellData!$A$4:$A$20,0)),"")</f>
        <v/>
      </c>
      <c r="K20" s="12" t="str">
        <f t="array" ref="K20">IFERROR(INDEX(SpellData!$D$4:$D$20,MATCH(H20,SpellData!$A$4:$A$20,0)),"")</f>
        <v/>
      </c>
      <c r="L20" s="12" t="str">
        <f t="array" ref="L20">IFERROR(INDEX(SpellData!$E$4:$E$20,MATCH(H20,SpellData!$A$4:$A$20,0)),"")</f>
        <v/>
      </c>
      <c r="M20" s="12" t="str">
        <f t="array" ref="M20">IFERROR(INDEX(SpellData!$F$4:$F$20,MATCH(H20,SpellData!$A$4:$A$20,0)),"")</f>
        <v/>
      </c>
      <c r="N20" s="12" t="str">
        <f t="array" ref="N20">IFERROR(INDEX(SpellData!$G$4:$G$20,MATCH(H20,SpellData!$A$4:$A$20,0)),"")</f>
        <v/>
      </c>
      <c r="O20" s="12" t="str">
        <f t="array" ref="O20">IFERROR(INDEX(SpellData!$H$4:$H$20,MATCH(H20,SpellData!$A$4:$A$20,0)),"")</f>
        <v/>
      </c>
      <c r="P20" s="12" t="str">
        <f t="array" ref="P20">IFERROR(INDEX(SpellData!$I$4:$I$20,MATCH(H20,SpellData!$A$4:$A$20,0)),"")</f>
        <v/>
      </c>
      <c r="Q20" s="12" t="str">
        <f t="array" ref="Q20">IFERROR(INDEX(SpellData!$J$4:$J$20,MATCH(H20,SpellData!$A$4:$A$20,0)),"")</f>
        <v/>
      </c>
      <c r="R20" s="12" t="str">
        <f t="array" ref="R20">IFERROR(INDEX(SpellData!$K$4:$K$20,MATCH(H20,SpellData!$A$4:$A$20,0)),"")</f>
        <v/>
      </c>
      <c r="S20" s="12" t="str">
        <f t="array" ref="S20">IFERROR(INDEX(SpellData!$L$4:$L$20,MATCH(H20,SpellData!$A$4:$A$20,0)),"")</f>
        <v/>
      </c>
      <c r="T20" s="12" t="str">
        <f t="array" ref="T20">IFERROR(INDEX(SpellData!$M$4:$M$20,MATCH(H20,SpellData!$A$4:$A$20,0)),"")</f>
        <v/>
      </c>
      <c r="U20" s="12" t="str">
        <f t="array" ref="U20">IFERROR(INDEX(SpellData!$N$4:$N$20,MATCH(H20,SpellData!$A$4:$A$20,0)),"")</f>
        <v/>
      </c>
      <c r="V20" s="12" t="str">
        <f t="array" ref="V20">IFERROR(INDEX(SpellData!$O$4:$O$20,MATCH(H20,SpellData!$A$4:$A$20,0)),"")</f>
        <v/>
      </c>
      <c r="W20" s="12" t="str">
        <f t="array" ref="W20">IFERROR(INDEX(SpellData!$P$4:$P$20,MATCH(H20,SpellData!$A$4:$A$20,0)),"")</f>
        <v/>
      </c>
      <c r="X20" s="12" t="str">
        <f t="array" ref="X20">IFERROR(INDEX(SpellData!$Q$4:$Q$20,MATCH(H20,SpellData!$A$4:$A$20,0)),"")</f>
        <v/>
      </c>
      <c r="Y20" s="19" t="str">
        <f>IF(M20="Spell Attack",Character!$E$30,"")</f>
        <v/>
      </c>
      <c r="Z20" s="12" t="str">
        <f>IF(N20="Spell DC",Character!$E$31,"")</f>
        <v/>
      </c>
      <c r="AA20" s="12"/>
      <c r="AB20" s="12" t="str">
        <f t="array" ref="AB20">IFERROR(INDEX(SpellData!$R$4:$R$20,MATCH(H20,SpellData!$A$4:$A$20,0)),"")</f>
        <v/>
      </c>
    </row>
    <row r="21" ht="15.75" customHeight="1">
      <c r="E21" s="12"/>
      <c r="F21" s="12"/>
      <c r="G21" s="12"/>
      <c r="H21" s="12"/>
      <c r="I21" s="12" t="str">
        <f t="array" ref="I21">IFERROR(INDEX(SpellData!$B$4:$B$20,MATCH(H21,SpellData!$A$4:$A$20,0)),"")</f>
        <v/>
      </c>
      <c r="J21" s="12" t="str">
        <f t="array" ref="J21">IFERROR(INDEX(SpellData!$C$4:$C$20,MATCH(H21,SpellData!$A$4:$A$20,0)),"")</f>
        <v/>
      </c>
      <c r="K21" s="12" t="str">
        <f t="array" ref="K21">IFERROR(INDEX(SpellData!$D$4:$D$20,MATCH(H21,SpellData!$A$4:$A$20,0)),"")</f>
        <v/>
      </c>
      <c r="L21" s="12" t="str">
        <f t="array" ref="L21">IFERROR(INDEX(SpellData!$E$4:$E$20,MATCH(H21,SpellData!$A$4:$A$20,0)),"")</f>
        <v/>
      </c>
      <c r="M21" s="12" t="str">
        <f t="array" ref="M21">IFERROR(INDEX(SpellData!$F$4:$F$20,MATCH(H21,SpellData!$A$4:$A$20,0)),"")</f>
        <v/>
      </c>
      <c r="N21" s="12" t="str">
        <f t="array" ref="N21">IFERROR(INDEX(SpellData!$G$4:$G$20,MATCH(H21,SpellData!$A$4:$A$20,0)),"")</f>
        <v/>
      </c>
      <c r="O21" s="12" t="str">
        <f t="array" ref="O21">IFERROR(INDEX(SpellData!$H$4:$H$20,MATCH(H21,SpellData!$A$4:$A$20,0)),"")</f>
        <v/>
      </c>
      <c r="P21" s="12" t="str">
        <f t="array" ref="P21">IFERROR(INDEX(SpellData!$I$4:$I$20,MATCH(H21,SpellData!$A$4:$A$20,0)),"")</f>
        <v/>
      </c>
      <c r="Q21" s="12" t="str">
        <f t="array" ref="Q21">IFERROR(INDEX(SpellData!$J$4:$J$20,MATCH(H21,SpellData!$A$4:$A$20,0)),"")</f>
        <v/>
      </c>
      <c r="R21" s="12" t="str">
        <f t="array" ref="R21">IFERROR(INDEX(SpellData!$K$4:$K$20,MATCH(H21,SpellData!$A$4:$A$20,0)),"")</f>
        <v/>
      </c>
      <c r="S21" s="12" t="str">
        <f t="array" ref="S21">IFERROR(INDEX(SpellData!$L$4:$L$20,MATCH(H21,SpellData!$A$4:$A$20,0)),"")</f>
        <v/>
      </c>
      <c r="T21" s="12" t="str">
        <f t="array" ref="T21">IFERROR(INDEX(SpellData!$M$4:$M$20,MATCH(H21,SpellData!$A$4:$A$20,0)),"")</f>
        <v/>
      </c>
      <c r="U21" s="12" t="str">
        <f t="array" ref="U21">IFERROR(INDEX(SpellData!$N$4:$N$20,MATCH(H21,SpellData!$A$4:$A$20,0)),"")</f>
        <v/>
      </c>
      <c r="V21" s="12" t="str">
        <f t="array" ref="V21">IFERROR(INDEX(SpellData!$O$4:$O$20,MATCH(H21,SpellData!$A$4:$A$20,0)),"")</f>
        <v/>
      </c>
      <c r="W21" s="12" t="str">
        <f t="array" ref="W21">IFERROR(INDEX(SpellData!$P$4:$P$20,MATCH(H21,SpellData!$A$4:$A$20,0)),"")</f>
        <v/>
      </c>
      <c r="X21" s="12" t="str">
        <f t="array" ref="X21">IFERROR(INDEX(SpellData!$Q$4:$Q$20,MATCH(H21,SpellData!$A$4:$A$20,0)),"")</f>
        <v/>
      </c>
      <c r="Y21" s="19" t="str">
        <f>IF(M21="Spell Attack",Character!$E$30,"")</f>
        <v/>
      </c>
      <c r="Z21" s="12" t="str">
        <f>IF(N21="Spell DC",Character!$E$31,"")</f>
        <v/>
      </c>
      <c r="AA21" s="12"/>
      <c r="AB21" s="12" t="str">
        <f t="array" ref="AB21">IFERROR(INDEX(SpellData!$R$4:$R$20,MATCH(H21,SpellData!$A$4:$A$20,0)),"")</f>
        <v/>
      </c>
    </row>
    <row r="22" ht="15.75" customHeight="1">
      <c r="E22" s="12"/>
      <c r="F22" s="12"/>
      <c r="G22" s="12"/>
      <c r="H22" s="12"/>
      <c r="I22" s="12" t="str">
        <f t="array" ref="I22">IFERROR(INDEX(SpellData!$B$4:$B$20,MATCH(H22,SpellData!$A$4:$A$20,0)),"")</f>
        <v/>
      </c>
      <c r="J22" s="12" t="str">
        <f t="array" ref="J22">IFERROR(INDEX(SpellData!$C$4:$C$20,MATCH(H22,SpellData!$A$4:$A$20,0)),"")</f>
        <v/>
      </c>
      <c r="K22" s="12" t="str">
        <f t="array" ref="K22">IFERROR(INDEX(SpellData!$D$4:$D$20,MATCH(H22,SpellData!$A$4:$A$20,0)),"")</f>
        <v/>
      </c>
      <c r="L22" s="12" t="str">
        <f t="array" ref="L22">IFERROR(INDEX(SpellData!$E$4:$E$20,MATCH(H22,SpellData!$A$4:$A$20,0)),"")</f>
        <v/>
      </c>
      <c r="M22" s="12" t="str">
        <f t="array" ref="M22">IFERROR(INDEX(SpellData!$F$4:$F$20,MATCH(H22,SpellData!$A$4:$A$20,0)),"")</f>
        <v/>
      </c>
      <c r="N22" s="12" t="str">
        <f t="array" ref="N22">IFERROR(INDEX(SpellData!$G$4:$G$20,MATCH(H22,SpellData!$A$4:$A$20,0)),"")</f>
        <v/>
      </c>
      <c r="O22" s="12" t="str">
        <f t="array" ref="O22">IFERROR(INDEX(SpellData!$H$4:$H$20,MATCH(H22,SpellData!$A$4:$A$20,0)),"")</f>
        <v/>
      </c>
      <c r="P22" s="12" t="str">
        <f t="array" ref="P22">IFERROR(INDEX(SpellData!$I$4:$I$20,MATCH(H22,SpellData!$A$4:$A$20,0)),"")</f>
        <v/>
      </c>
      <c r="Q22" s="12" t="str">
        <f t="array" ref="Q22">IFERROR(INDEX(SpellData!$J$4:$J$20,MATCH(H22,SpellData!$A$4:$A$20,0)),"")</f>
        <v/>
      </c>
      <c r="R22" s="12" t="str">
        <f t="array" ref="R22">IFERROR(INDEX(SpellData!$K$4:$K$20,MATCH(H22,SpellData!$A$4:$A$20,0)),"")</f>
        <v/>
      </c>
      <c r="S22" s="12" t="str">
        <f t="array" ref="S22">IFERROR(INDEX(SpellData!$L$4:$L$20,MATCH(H22,SpellData!$A$4:$A$20,0)),"")</f>
        <v/>
      </c>
      <c r="T22" s="12" t="str">
        <f t="array" ref="T22">IFERROR(INDEX(SpellData!$M$4:$M$20,MATCH(H22,SpellData!$A$4:$A$20,0)),"")</f>
        <v/>
      </c>
      <c r="U22" s="12" t="str">
        <f t="array" ref="U22">IFERROR(INDEX(SpellData!$N$4:$N$20,MATCH(H22,SpellData!$A$4:$A$20,0)),"")</f>
        <v/>
      </c>
      <c r="V22" s="12" t="str">
        <f t="array" ref="V22">IFERROR(INDEX(SpellData!$O$4:$O$20,MATCH(H22,SpellData!$A$4:$A$20,0)),"")</f>
        <v/>
      </c>
      <c r="W22" s="12" t="str">
        <f t="array" ref="W22">IFERROR(INDEX(SpellData!$P$4:$P$20,MATCH(H22,SpellData!$A$4:$A$20,0)),"")</f>
        <v/>
      </c>
      <c r="X22" s="12" t="str">
        <f t="array" ref="X22">IFERROR(INDEX(SpellData!$Q$4:$Q$20,MATCH(H22,SpellData!$A$4:$A$20,0)),"")</f>
        <v/>
      </c>
      <c r="Y22" s="19" t="str">
        <f>IF(M22="Spell Attack",Character!$E$30,"")</f>
        <v/>
      </c>
      <c r="Z22" s="12" t="str">
        <f>IF(N22="Spell DC",Character!$E$31,"")</f>
        <v/>
      </c>
      <c r="AA22" s="12"/>
      <c r="AB22" s="12" t="str">
        <f t="array" ref="AB22">IFERROR(INDEX(SpellData!$R$4:$R$20,MATCH(H22,SpellData!$A$4:$A$20,0)),"")</f>
        <v/>
      </c>
    </row>
    <row r="23" ht="15.75" customHeight="1">
      <c r="E23" s="12"/>
      <c r="F23" s="12"/>
      <c r="G23" s="12"/>
      <c r="H23" s="12"/>
      <c r="I23" s="12" t="str">
        <f t="array" ref="I23">IFERROR(INDEX(SpellData!$B$4:$B$20,MATCH(H23,SpellData!$A$4:$A$20,0)),"")</f>
        <v/>
      </c>
      <c r="J23" s="12" t="str">
        <f t="array" ref="J23">IFERROR(INDEX(SpellData!$C$4:$C$20,MATCH(H23,SpellData!$A$4:$A$20,0)),"")</f>
        <v/>
      </c>
      <c r="K23" s="12" t="str">
        <f t="array" ref="K23">IFERROR(INDEX(SpellData!$D$4:$D$20,MATCH(H23,SpellData!$A$4:$A$20,0)),"")</f>
        <v/>
      </c>
      <c r="L23" s="12" t="str">
        <f t="array" ref="L23">IFERROR(INDEX(SpellData!$E$4:$E$20,MATCH(H23,SpellData!$A$4:$A$20,0)),"")</f>
        <v/>
      </c>
      <c r="M23" s="12" t="str">
        <f t="array" ref="M23">IFERROR(INDEX(SpellData!$F$4:$F$20,MATCH(H23,SpellData!$A$4:$A$20,0)),"")</f>
        <v/>
      </c>
      <c r="N23" s="12" t="str">
        <f t="array" ref="N23">IFERROR(INDEX(SpellData!$G$4:$G$20,MATCH(H23,SpellData!$A$4:$A$20,0)),"")</f>
        <v/>
      </c>
      <c r="O23" s="12" t="str">
        <f t="array" ref="O23">IFERROR(INDEX(SpellData!$H$4:$H$20,MATCH(H23,SpellData!$A$4:$A$20,0)),"")</f>
        <v/>
      </c>
      <c r="P23" s="12" t="str">
        <f t="array" ref="P23">IFERROR(INDEX(SpellData!$I$4:$I$20,MATCH(H23,SpellData!$A$4:$A$20,0)),"")</f>
        <v/>
      </c>
      <c r="Q23" s="12" t="str">
        <f t="array" ref="Q23">IFERROR(INDEX(SpellData!$J$4:$J$20,MATCH(H23,SpellData!$A$4:$A$20,0)),"")</f>
        <v/>
      </c>
      <c r="R23" s="12" t="str">
        <f t="array" ref="R23">IFERROR(INDEX(SpellData!$K$4:$K$20,MATCH(H23,SpellData!$A$4:$A$20,0)),"")</f>
        <v/>
      </c>
      <c r="S23" s="12" t="str">
        <f t="array" ref="S23">IFERROR(INDEX(SpellData!$L$4:$L$20,MATCH(H23,SpellData!$A$4:$A$20,0)),"")</f>
        <v/>
      </c>
      <c r="T23" s="12" t="str">
        <f t="array" ref="T23">IFERROR(INDEX(SpellData!$M$4:$M$20,MATCH(H23,SpellData!$A$4:$A$20,0)),"")</f>
        <v/>
      </c>
      <c r="U23" s="12" t="str">
        <f t="array" ref="U23">IFERROR(INDEX(SpellData!$N$4:$N$20,MATCH(H23,SpellData!$A$4:$A$20,0)),"")</f>
        <v/>
      </c>
      <c r="V23" s="12" t="str">
        <f t="array" ref="V23">IFERROR(INDEX(SpellData!$O$4:$O$20,MATCH(H23,SpellData!$A$4:$A$20,0)),"")</f>
        <v/>
      </c>
      <c r="W23" s="12" t="str">
        <f t="array" ref="W23">IFERROR(INDEX(SpellData!$P$4:$P$20,MATCH(H23,SpellData!$A$4:$A$20,0)),"")</f>
        <v/>
      </c>
      <c r="X23" s="12" t="str">
        <f t="array" ref="X23">IFERROR(INDEX(SpellData!$Q$4:$Q$20,MATCH(H23,SpellData!$A$4:$A$20,0)),"")</f>
        <v/>
      </c>
      <c r="Y23" s="19" t="str">
        <f>IF(M23="Spell Attack",Character!$E$30,"")</f>
        <v/>
      </c>
      <c r="Z23" s="12" t="str">
        <f>IF(N23="Spell DC",Character!$E$31,"")</f>
        <v/>
      </c>
      <c r="AA23" s="12"/>
      <c r="AB23" s="12" t="str">
        <f t="array" ref="AB23">IFERROR(INDEX(SpellData!$R$4:$R$20,MATCH(H23,SpellData!$A$4:$A$20,0)),"")</f>
        <v/>
      </c>
    </row>
    <row r="24" ht="15.75" customHeight="1">
      <c r="E24" s="12"/>
      <c r="F24" s="12"/>
      <c r="G24" s="12"/>
      <c r="H24" s="12"/>
      <c r="I24" s="12" t="str">
        <f t="array" ref="I24">IFERROR(INDEX(SpellData!$B$4:$B$20,MATCH(H24,SpellData!$A$4:$A$20,0)),"")</f>
        <v/>
      </c>
      <c r="J24" s="12" t="str">
        <f t="array" ref="J24">IFERROR(INDEX(SpellData!$C$4:$C$20,MATCH(H24,SpellData!$A$4:$A$20,0)),"")</f>
        <v/>
      </c>
      <c r="K24" s="12" t="str">
        <f t="array" ref="K24">IFERROR(INDEX(SpellData!$D$4:$D$20,MATCH(H24,SpellData!$A$4:$A$20,0)),"")</f>
        <v/>
      </c>
      <c r="L24" s="12" t="str">
        <f t="array" ref="L24">IFERROR(INDEX(SpellData!$E$4:$E$20,MATCH(H24,SpellData!$A$4:$A$20,0)),"")</f>
        <v/>
      </c>
      <c r="M24" s="12" t="str">
        <f t="array" ref="M24">IFERROR(INDEX(SpellData!$F$4:$F$20,MATCH(H24,SpellData!$A$4:$A$20,0)),"")</f>
        <v/>
      </c>
      <c r="N24" s="12" t="str">
        <f t="array" ref="N24">IFERROR(INDEX(SpellData!$G$4:$G$20,MATCH(H24,SpellData!$A$4:$A$20,0)),"")</f>
        <v/>
      </c>
      <c r="O24" s="12" t="str">
        <f t="array" ref="O24">IFERROR(INDEX(SpellData!$H$4:$H$20,MATCH(H24,SpellData!$A$4:$A$20,0)),"")</f>
        <v/>
      </c>
      <c r="P24" s="12" t="str">
        <f t="array" ref="P24">IFERROR(INDEX(SpellData!$I$4:$I$20,MATCH(H24,SpellData!$A$4:$A$20,0)),"")</f>
        <v/>
      </c>
      <c r="Q24" s="12" t="str">
        <f t="array" ref="Q24">IFERROR(INDEX(SpellData!$J$4:$J$20,MATCH(H24,SpellData!$A$4:$A$20,0)),"")</f>
        <v/>
      </c>
      <c r="R24" s="12" t="str">
        <f t="array" ref="R24">IFERROR(INDEX(SpellData!$K$4:$K$20,MATCH(H24,SpellData!$A$4:$A$20,0)),"")</f>
        <v/>
      </c>
      <c r="S24" s="12" t="str">
        <f t="array" ref="S24">IFERROR(INDEX(SpellData!$L$4:$L$20,MATCH(H24,SpellData!$A$4:$A$20,0)),"")</f>
        <v/>
      </c>
      <c r="T24" s="12" t="str">
        <f t="array" ref="T24">IFERROR(INDEX(SpellData!$M$4:$M$20,MATCH(H24,SpellData!$A$4:$A$20,0)),"")</f>
        <v/>
      </c>
      <c r="U24" s="12" t="str">
        <f t="array" ref="U24">IFERROR(INDEX(SpellData!$N$4:$N$20,MATCH(H24,SpellData!$A$4:$A$20,0)),"")</f>
        <v/>
      </c>
      <c r="V24" s="12" t="str">
        <f t="array" ref="V24">IFERROR(INDEX(SpellData!$O$4:$O$20,MATCH(H24,SpellData!$A$4:$A$20,0)),"")</f>
        <v/>
      </c>
      <c r="W24" s="12" t="str">
        <f t="array" ref="W24">IFERROR(INDEX(SpellData!$P$4:$P$20,MATCH(H24,SpellData!$A$4:$A$20,0)),"")</f>
        <v/>
      </c>
      <c r="X24" s="12" t="str">
        <f t="array" ref="X24">IFERROR(INDEX(SpellData!$Q$4:$Q$20,MATCH(H24,SpellData!$A$4:$A$20,0)),"")</f>
        <v/>
      </c>
      <c r="Y24" s="19" t="str">
        <f>IF(M24="Spell Attack",Character!$E$30,"")</f>
        <v/>
      </c>
      <c r="Z24" s="12" t="str">
        <f>IF(N24="Spell DC",Character!$E$31,"")</f>
        <v/>
      </c>
      <c r="AA24" s="12"/>
      <c r="AB24" s="12" t="str">
        <f t="array" ref="AB24">IFERROR(INDEX(SpellData!$R$4:$R$20,MATCH(H24,SpellData!$A$4:$A$20,0)),"")</f>
        <v/>
      </c>
    </row>
    <row r="25" ht="15.75" customHeight="1">
      <c r="E25" s="12"/>
      <c r="F25" s="12"/>
      <c r="G25" s="12"/>
      <c r="H25" s="12"/>
      <c r="I25" s="12" t="str">
        <f t="array" ref="I25">IFERROR(INDEX(SpellData!$B$4:$B$20,MATCH(H25,SpellData!$A$4:$A$20,0)),"")</f>
        <v/>
      </c>
      <c r="J25" s="12" t="str">
        <f t="array" ref="J25">IFERROR(INDEX(SpellData!$C$4:$C$20,MATCH(H25,SpellData!$A$4:$A$20,0)),"")</f>
        <v/>
      </c>
      <c r="K25" s="12" t="str">
        <f t="array" ref="K25">IFERROR(INDEX(SpellData!$D$4:$D$20,MATCH(H25,SpellData!$A$4:$A$20,0)),"")</f>
        <v/>
      </c>
      <c r="L25" s="12" t="str">
        <f t="array" ref="L25">IFERROR(INDEX(SpellData!$E$4:$E$20,MATCH(H25,SpellData!$A$4:$A$20,0)),"")</f>
        <v/>
      </c>
      <c r="M25" s="12" t="str">
        <f t="array" ref="M25">IFERROR(INDEX(SpellData!$F$4:$F$20,MATCH(H25,SpellData!$A$4:$A$20,0)),"")</f>
        <v/>
      </c>
      <c r="N25" s="12" t="str">
        <f t="array" ref="N25">IFERROR(INDEX(SpellData!$G$4:$G$20,MATCH(H25,SpellData!$A$4:$A$20,0)),"")</f>
        <v/>
      </c>
      <c r="O25" s="12" t="str">
        <f t="array" ref="O25">IFERROR(INDEX(SpellData!$H$4:$H$20,MATCH(H25,SpellData!$A$4:$A$20,0)),"")</f>
        <v/>
      </c>
      <c r="P25" s="12" t="str">
        <f t="array" ref="P25">IFERROR(INDEX(SpellData!$I$4:$I$20,MATCH(H25,SpellData!$A$4:$A$20,0)),"")</f>
        <v/>
      </c>
      <c r="Q25" s="12" t="str">
        <f t="array" ref="Q25">IFERROR(INDEX(SpellData!$J$4:$J$20,MATCH(H25,SpellData!$A$4:$A$20,0)),"")</f>
        <v/>
      </c>
      <c r="R25" s="12" t="str">
        <f t="array" ref="R25">IFERROR(INDEX(SpellData!$K$4:$K$20,MATCH(H25,SpellData!$A$4:$A$20,0)),"")</f>
        <v/>
      </c>
      <c r="S25" s="12" t="str">
        <f t="array" ref="S25">IFERROR(INDEX(SpellData!$L$4:$L$20,MATCH(H25,SpellData!$A$4:$A$20,0)),"")</f>
        <v/>
      </c>
      <c r="T25" s="12" t="str">
        <f t="array" ref="T25">IFERROR(INDEX(SpellData!$M$4:$M$20,MATCH(H25,SpellData!$A$4:$A$20,0)),"")</f>
        <v/>
      </c>
      <c r="U25" s="12" t="str">
        <f t="array" ref="U25">IFERROR(INDEX(SpellData!$N$4:$N$20,MATCH(H25,SpellData!$A$4:$A$20,0)),"")</f>
        <v/>
      </c>
      <c r="V25" s="12" t="str">
        <f t="array" ref="V25">IFERROR(INDEX(SpellData!$O$4:$O$20,MATCH(H25,SpellData!$A$4:$A$20,0)),"")</f>
        <v/>
      </c>
      <c r="W25" s="12" t="str">
        <f t="array" ref="W25">IFERROR(INDEX(SpellData!$P$4:$P$20,MATCH(H25,SpellData!$A$4:$A$20,0)),"")</f>
        <v/>
      </c>
      <c r="X25" s="12" t="str">
        <f t="array" ref="X25">IFERROR(INDEX(SpellData!$Q$4:$Q$20,MATCH(H25,SpellData!$A$4:$A$20,0)),"")</f>
        <v/>
      </c>
      <c r="Y25" s="19" t="str">
        <f>IF(M25="Spell Attack",Character!$E$30,"")</f>
        <v/>
      </c>
      <c r="Z25" s="12" t="str">
        <f>IF(N25="Spell DC",Character!$E$31,"")</f>
        <v/>
      </c>
      <c r="AA25" s="12"/>
      <c r="AB25" s="12" t="str">
        <f t="array" ref="AB25">IFERROR(INDEX(SpellData!$R$4:$R$20,MATCH(H25,SpellData!$A$4:$A$20,0)),"")</f>
        <v/>
      </c>
    </row>
    <row r="26" ht="15.75" customHeight="1">
      <c r="E26" s="12"/>
      <c r="F26" s="12"/>
      <c r="G26" s="12"/>
      <c r="H26" s="12"/>
      <c r="I26" s="12" t="str">
        <f t="array" ref="I26">IFERROR(INDEX(SpellData!$B$4:$B$20,MATCH(H26,SpellData!$A$4:$A$20,0)),"")</f>
        <v/>
      </c>
      <c r="J26" s="12" t="str">
        <f t="array" ref="J26">IFERROR(INDEX(SpellData!$C$4:$C$20,MATCH(H26,SpellData!$A$4:$A$20,0)),"")</f>
        <v/>
      </c>
      <c r="K26" s="12" t="str">
        <f t="array" ref="K26">IFERROR(INDEX(SpellData!$D$4:$D$20,MATCH(H26,SpellData!$A$4:$A$20,0)),"")</f>
        <v/>
      </c>
      <c r="L26" s="12" t="str">
        <f t="array" ref="L26">IFERROR(INDEX(SpellData!$E$4:$E$20,MATCH(H26,SpellData!$A$4:$A$20,0)),"")</f>
        <v/>
      </c>
      <c r="M26" s="12" t="str">
        <f t="array" ref="M26">IFERROR(INDEX(SpellData!$F$4:$F$20,MATCH(H26,SpellData!$A$4:$A$20,0)),"")</f>
        <v/>
      </c>
      <c r="N26" s="12" t="str">
        <f t="array" ref="N26">IFERROR(INDEX(SpellData!$G$4:$G$20,MATCH(H26,SpellData!$A$4:$A$20,0)),"")</f>
        <v/>
      </c>
      <c r="O26" s="12" t="str">
        <f t="array" ref="O26">IFERROR(INDEX(SpellData!$H$4:$H$20,MATCH(H26,SpellData!$A$4:$A$20,0)),"")</f>
        <v/>
      </c>
      <c r="P26" s="12" t="str">
        <f t="array" ref="P26">IFERROR(INDEX(SpellData!$I$4:$I$20,MATCH(H26,SpellData!$A$4:$A$20,0)),"")</f>
        <v/>
      </c>
      <c r="Q26" s="12" t="str">
        <f t="array" ref="Q26">IFERROR(INDEX(SpellData!$J$4:$J$20,MATCH(H26,SpellData!$A$4:$A$20,0)),"")</f>
        <v/>
      </c>
      <c r="R26" s="12" t="str">
        <f t="array" ref="R26">IFERROR(INDEX(SpellData!$K$4:$K$20,MATCH(H26,SpellData!$A$4:$A$20,0)),"")</f>
        <v/>
      </c>
      <c r="S26" s="12" t="str">
        <f t="array" ref="S26">IFERROR(INDEX(SpellData!$L$4:$L$20,MATCH(H26,SpellData!$A$4:$A$20,0)),"")</f>
        <v/>
      </c>
      <c r="T26" s="12" t="str">
        <f t="array" ref="T26">IFERROR(INDEX(SpellData!$M$4:$M$20,MATCH(H26,SpellData!$A$4:$A$20,0)),"")</f>
        <v/>
      </c>
      <c r="U26" s="12" t="str">
        <f t="array" ref="U26">IFERROR(INDEX(SpellData!$N$4:$N$20,MATCH(H26,SpellData!$A$4:$A$20,0)),"")</f>
        <v/>
      </c>
      <c r="V26" s="12" t="str">
        <f t="array" ref="V26">IFERROR(INDEX(SpellData!$O$4:$O$20,MATCH(H26,SpellData!$A$4:$A$20,0)),"")</f>
        <v/>
      </c>
      <c r="W26" s="12" t="str">
        <f t="array" ref="W26">IFERROR(INDEX(SpellData!$P$4:$P$20,MATCH(H26,SpellData!$A$4:$A$20,0)),"")</f>
        <v/>
      </c>
      <c r="X26" s="12" t="str">
        <f t="array" ref="X26">IFERROR(INDEX(SpellData!$Q$4:$Q$20,MATCH(H26,SpellData!$A$4:$A$20,0)),"")</f>
        <v/>
      </c>
      <c r="Y26" s="19" t="str">
        <f>IF(M26="Spell Attack",Character!$E$30,"")</f>
        <v/>
      </c>
      <c r="Z26" s="12" t="str">
        <f>IF(N26="Spell DC",Character!$E$31,"")</f>
        <v/>
      </c>
      <c r="AA26" s="12"/>
      <c r="AB26" s="12" t="str">
        <f t="array" ref="AB26">IFERROR(INDEX(SpellData!$R$4:$R$20,MATCH(H26,SpellData!$A$4:$A$20,0)),"")</f>
        <v/>
      </c>
    </row>
    <row r="27" ht="15.75" customHeight="1">
      <c r="E27" s="12"/>
      <c r="F27" s="12"/>
      <c r="G27" s="12"/>
      <c r="H27" s="12"/>
      <c r="I27" s="12" t="str">
        <f t="array" ref="I27">IFERROR(INDEX(SpellData!$B$4:$B$20,MATCH(H27,SpellData!$A$4:$A$20,0)),"")</f>
        <v/>
      </c>
      <c r="J27" s="12" t="str">
        <f t="array" ref="J27">IFERROR(INDEX(SpellData!$C$4:$C$20,MATCH(H27,SpellData!$A$4:$A$20,0)),"")</f>
        <v/>
      </c>
      <c r="K27" s="12" t="str">
        <f t="array" ref="K27">IFERROR(INDEX(SpellData!$D$4:$D$20,MATCH(H27,SpellData!$A$4:$A$20,0)),"")</f>
        <v/>
      </c>
      <c r="L27" s="12" t="str">
        <f t="array" ref="L27">IFERROR(INDEX(SpellData!$E$4:$E$20,MATCH(H27,SpellData!$A$4:$A$20,0)),"")</f>
        <v/>
      </c>
      <c r="M27" s="12" t="str">
        <f t="array" ref="M27">IFERROR(INDEX(SpellData!$F$4:$F$20,MATCH(H27,SpellData!$A$4:$A$20,0)),"")</f>
        <v/>
      </c>
      <c r="N27" s="12" t="str">
        <f t="array" ref="N27">IFERROR(INDEX(SpellData!$G$4:$G$20,MATCH(H27,SpellData!$A$4:$A$20,0)),"")</f>
        <v/>
      </c>
      <c r="O27" s="12" t="str">
        <f t="array" ref="O27">IFERROR(INDEX(SpellData!$H$4:$H$20,MATCH(H27,SpellData!$A$4:$A$20,0)),"")</f>
        <v/>
      </c>
      <c r="P27" s="12" t="str">
        <f t="array" ref="P27">IFERROR(INDEX(SpellData!$I$4:$I$20,MATCH(H27,SpellData!$A$4:$A$20,0)),"")</f>
        <v/>
      </c>
      <c r="Q27" s="12" t="str">
        <f t="array" ref="Q27">IFERROR(INDEX(SpellData!$J$4:$J$20,MATCH(H27,SpellData!$A$4:$A$20,0)),"")</f>
        <v/>
      </c>
      <c r="R27" s="12" t="str">
        <f t="array" ref="R27">IFERROR(INDEX(SpellData!$K$4:$K$20,MATCH(H27,SpellData!$A$4:$A$20,0)),"")</f>
        <v/>
      </c>
      <c r="S27" s="12" t="str">
        <f t="array" ref="S27">IFERROR(INDEX(SpellData!$L$4:$L$20,MATCH(H27,SpellData!$A$4:$A$20,0)),"")</f>
        <v/>
      </c>
      <c r="T27" s="12" t="str">
        <f t="array" ref="T27">IFERROR(INDEX(SpellData!$M$4:$M$20,MATCH(H27,SpellData!$A$4:$A$20,0)),"")</f>
        <v/>
      </c>
      <c r="U27" s="12" t="str">
        <f t="array" ref="U27">IFERROR(INDEX(SpellData!$N$4:$N$20,MATCH(H27,SpellData!$A$4:$A$20,0)),"")</f>
        <v/>
      </c>
      <c r="V27" s="12" t="str">
        <f t="array" ref="V27">IFERROR(INDEX(SpellData!$O$4:$O$20,MATCH(H27,SpellData!$A$4:$A$20,0)),"")</f>
        <v/>
      </c>
      <c r="W27" s="12" t="str">
        <f t="array" ref="W27">IFERROR(INDEX(SpellData!$P$4:$P$20,MATCH(H27,SpellData!$A$4:$A$20,0)),"")</f>
        <v/>
      </c>
      <c r="X27" s="12" t="str">
        <f t="array" ref="X27">IFERROR(INDEX(SpellData!$Q$4:$Q$20,MATCH(H27,SpellData!$A$4:$A$20,0)),"")</f>
        <v/>
      </c>
      <c r="Y27" s="19" t="str">
        <f>IF(M27="Spell Attack",Character!$E$30,"")</f>
        <v/>
      </c>
      <c r="Z27" s="12" t="str">
        <f>IF(N27="Spell DC",Character!$E$31,"")</f>
        <v/>
      </c>
      <c r="AA27" s="12"/>
      <c r="AB27" s="12" t="str">
        <f t="array" ref="AB27">IFERROR(INDEX(SpellData!$R$4:$R$20,MATCH(H27,SpellData!$A$4:$A$20,0)),"")</f>
        <v/>
      </c>
    </row>
    <row r="28" ht="15.75" customHeight="1">
      <c r="E28" s="12"/>
      <c r="F28" s="12"/>
      <c r="G28" s="12"/>
      <c r="H28" s="12"/>
      <c r="I28" s="12" t="str">
        <f t="array" ref="I28">IFERROR(INDEX(SpellData!$B$4:$B$20,MATCH(H28,SpellData!$A$4:$A$20,0)),"")</f>
        <v/>
      </c>
      <c r="J28" s="12" t="str">
        <f t="array" ref="J28">IFERROR(INDEX(SpellData!$C$4:$C$20,MATCH(H28,SpellData!$A$4:$A$20,0)),"")</f>
        <v/>
      </c>
      <c r="K28" s="12" t="str">
        <f t="array" ref="K28">IFERROR(INDEX(SpellData!$D$4:$D$20,MATCH(H28,SpellData!$A$4:$A$20,0)),"")</f>
        <v/>
      </c>
      <c r="L28" s="12" t="str">
        <f t="array" ref="L28">IFERROR(INDEX(SpellData!$E$4:$E$20,MATCH(H28,SpellData!$A$4:$A$20,0)),"")</f>
        <v/>
      </c>
      <c r="M28" s="12" t="str">
        <f t="array" ref="M28">IFERROR(INDEX(SpellData!$F$4:$F$20,MATCH(H28,SpellData!$A$4:$A$20,0)),"")</f>
        <v/>
      </c>
      <c r="N28" s="12" t="str">
        <f t="array" ref="N28">IFERROR(INDEX(SpellData!$G$4:$G$20,MATCH(H28,SpellData!$A$4:$A$20,0)),"")</f>
        <v/>
      </c>
      <c r="O28" s="12" t="str">
        <f t="array" ref="O28">IFERROR(INDEX(SpellData!$H$4:$H$20,MATCH(H28,SpellData!$A$4:$A$20,0)),"")</f>
        <v/>
      </c>
      <c r="P28" s="12" t="str">
        <f t="array" ref="P28">IFERROR(INDEX(SpellData!$I$4:$I$20,MATCH(H28,SpellData!$A$4:$A$20,0)),"")</f>
        <v/>
      </c>
      <c r="Q28" s="12" t="str">
        <f t="array" ref="Q28">IFERROR(INDEX(SpellData!$J$4:$J$20,MATCH(H28,SpellData!$A$4:$A$20,0)),"")</f>
        <v/>
      </c>
      <c r="R28" s="12" t="str">
        <f t="array" ref="R28">IFERROR(INDEX(SpellData!$K$4:$K$20,MATCH(H28,SpellData!$A$4:$A$20,0)),"")</f>
        <v/>
      </c>
      <c r="S28" s="12" t="str">
        <f t="array" ref="S28">IFERROR(INDEX(SpellData!$L$4:$L$20,MATCH(H28,SpellData!$A$4:$A$20,0)),"")</f>
        <v/>
      </c>
      <c r="T28" s="12" t="str">
        <f t="array" ref="T28">IFERROR(INDEX(SpellData!$M$4:$M$20,MATCH(H28,SpellData!$A$4:$A$20,0)),"")</f>
        <v/>
      </c>
      <c r="U28" s="12" t="str">
        <f t="array" ref="U28">IFERROR(INDEX(SpellData!$N$4:$N$20,MATCH(H28,SpellData!$A$4:$A$20,0)),"")</f>
        <v/>
      </c>
      <c r="V28" s="12" t="str">
        <f t="array" ref="V28">IFERROR(INDEX(SpellData!$O$4:$O$20,MATCH(H28,SpellData!$A$4:$A$20,0)),"")</f>
        <v/>
      </c>
      <c r="W28" s="12" t="str">
        <f t="array" ref="W28">IFERROR(INDEX(SpellData!$P$4:$P$20,MATCH(H28,SpellData!$A$4:$A$20,0)),"")</f>
        <v/>
      </c>
      <c r="X28" s="12" t="str">
        <f t="array" ref="X28">IFERROR(INDEX(SpellData!$Q$4:$Q$20,MATCH(H28,SpellData!$A$4:$A$20,0)),"")</f>
        <v/>
      </c>
      <c r="Y28" s="19" t="str">
        <f>IF(M28="Spell Attack",Character!$E$30,"")</f>
        <v/>
      </c>
      <c r="Z28" s="12" t="str">
        <f>IF(N28="Spell DC",Character!$E$31,"")</f>
        <v/>
      </c>
      <c r="AA28" s="12"/>
      <c r="AB28" s="12" t="str">
        <f t="array" ref="AB28">IFERROR(INDEX(SpellData!$R$4:$R$20,MATCH(H28,SpellData!$A$4:$A$20,0)),"")</f>
        <v/>
      </c>
    </row>
    <row r="29" ht="15.75" customHeight="1">
      <c r="E29" s="12"/>
      <c r="F29" s="12"/>
      <c r="G29" s="12"/>
      <c r="H29" s="12"/>
      <c r="I29" s="12" t="str">
        <f t="array" ref="I29">IFERROR(INDEX(SpellData!$B$4:$B$20,MATCH(H29,SpellData!$A$4:$A$20,0)),"")</f>
        <v/>
      </c>
      <c r="J29" s="12" t="str">
        <f t="array" ref="J29">IFERROR(INDEX(SpellData!$C$4:$C$20,MATCH(H29,SpellData!$A$4:$A$20,0)),"")</f>
        <v/>
      </c>
      <c r="K29" s="12" t="str">
        <f t="array" ref="K29">IFERROR(INDEX(SpellData!$D$4:$D$20,MATCH(H29,SpellData!$A$4:$A$20,0)),"")</f>
        <v/>
      </c>
      <c r="L29" s="12" t="str">
        <f t="array" ref="L29">IFERROR(INDEX(SpellData!$E$4:$E$20,MATCH(H29,SpellData!$A$4:$A$20,0)),"")</f>
        <v/>
      </c>
      <c r="M29" s="12" t="str">
        <f t="array" ref="M29">IFERROR(INDEX(SpellData!$F$4:$F$20,MATCH(H29,SpellData!$A$4:$A$20,0)),"")</f>
        <v/>
      </c>
      <c r="N29" s="12" t="str">
        <f t="array" ref="N29">IFERROR(INDEX(SpellData!$G$4:$G$20,MATCH(H29,SpellData!$A$4:$A$20,0)),"")</f>
        <v/>
      </c>
      <c r="O29" s="12" t="str">
        <f t="array" ref="O29">IFERROR(INDEX(SpellData!$H$4:$H$20,MATCH(H29,SpellData!$A$4:$A$20,0)),"")</f>
        <v/>
      </c>
      <c r="P29" s="12" t="str">
        <f t="array" ref="P29">IFERROR(INDEX(SpellData!$I$4:$I$20,MATCH(H29,SpellData!$A$4:$A$20,0)),"")</f>
        <v/>
      </c>
      <c r="Q29" s="12" t="str">
        <f t="array" ref="Q29">IFERROR(INDEX(SpellData!$J$4:$J$20,MATCH(H29,SpellData!$A$4:$A$20,0)),"")</f>
        <v/>
      </c>
      <c r="R29" s="12" t="str">
        <f t="array" ref="R29">IFERROR(INDEX(SpellData!$K$4:$K$20,MATCH(H29,SpellData!$A$4:$A$20,0)),"")</f>
        <v/>
      </c>
      <c r="S29" s="12" t="str">
        <f t="array" ref="S29">IFERROR(INDEX(SpellData!$L$4:$L$20,MATCH(H29,SpellData!$A$4:$A$20,0)),"")</f>
        <v/>
      </c>
      <c r="T29" s="12" t="str">
        <f t="array" ref="T29">IFERROR(INDEX(SpellData!$M$4:$M$20,MATCH(H29,SpellData!$A$4:$A$20,0)),"")</f>
        <v/>
      </c>
      <c r="U29" s="12" t="str">
        <f t="array" ref="U29">IFERROR(INDEX(SpellData!$N$4:$N$20,MATCH(H29,SpellData!$A$4:$A$20,0)),"")</f>
        <v/>
      </c>
      <c r="V29" s="12" t="str">
        <f t="array" ref="V29">IFERROR(INDEX(SpellData!$O$4:$O$20,MATCH(H29,SpellData!$A$4:$A$20,0)),"")</f>
        <v/>
      </c>
      <c r="W29" s="12" t="str">
        <f t="array" ref="W29">IFERROR(INDEX(SpellData!$P$4:$P$20,MATCH(H29,SpellData!$A$4:$A$20,0)),"")</f>
        <v/>
      </c>
      <c r="X29" s="12" t="str">
        <f t="array" ref="X29">IFERROR(INDEX(SpellData!$Q$4:$Q$20,MATCH(H29,SpellData!$A$4:$A$20,0)),"")</f>
        <v/>
      </c>
      <c r="Y29" s="19" t="str">
        <f>IF(M29="Spell Attack",Character!$E$30,"")</f>
        <v/>
      </c>
      <c r="Z29" s="12" t="str">
        <f>IF(N29="Spell DC",Character!$E$31,"")</f>
        <v/>
      </c>
      <c r="AA29" s="12"/>
      <c r="AB29" s="12" t="str">
        <f t="array" ref="AB29">IFERROR(INDEX(SpellData!$R$4:$R$20,MATCH(H29,SpellData!$A$4:$A$20,0)),"")</f>
        <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B1"/>
    <mergeCell ref="A3:C3"/>
    <mergeCell ref="E3:AB3"/>
  </mergeCells>
  <dataValidations>
    <dataValidation type="list" allowBlank="1" sqref="E5:G29">
      <formula1>"TRUE,FALSE"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2.0"/>
    <col customWidth="1" min="3" max="3" width="8.71"/>
    <col customWidth="1" min="4" max="4" width="18.0"/>
    <col customWidth="1" min="5" max="5" width="10.0"/>
    <col customWidth="1" min="6" max="6" width="18.0"/>
    <col customWidth="1" min="7" max="7" width="8.71"/>
    <col customWidth="1" min="8" max="8" width="18.0"/>
    <col customWidth="1" min="9" max="10" width="10.0"/>
    <col customWidth="1" min="11" max="11" width="24.0"/>
    <col customWidth="1" min="12" max="12" width="8.71"/>
    <col customWidth="1" min="13" max="13" width="18.0"/>
    <col customWidth="1" min="14" max="14" width="24.0"/>
    <col customWidth="1" min="15" max="16" width="8.71"/>
    <col customWidth="1" min="17" max="17" width="18.0"/>
    <col customWidth="1" min="18" max="20" width="10.0"/>
    <col customWidth="1" min="21" max="21" width="14.0"/>
    <col customWidth="1" min="22" max="22" width="12.0"/>
    <col customWidth="1" min="23" max="23" width="8.71"/>
    <col customWidth="1" min="24" max="24" width="18.0"/>
    <col customWidth="1" min="25" max="25" width="10.0"/>
    <col customWidth="1" min="26" max="26" width="8.71"/>
    <col customWidth="1" min="27" max="27" width="18.0"/>
    <col customWidth="1" min="28" max="29" width="12.0"/>
    <col customWidth="1" min="30" max="30" width="14.0"/>
    <col customWidth="1" min="31" max="32" width="12.0"/>
    <col customWidth="1" min="33" max="34" width="10.0"/>
    <col customWidth="1" min="35" max="36" width="12.0"/>
    <col customWidth="1" min="37" max="41" width="10.0"/>
    <col customWidth="1" min="42" max="42" width="24.0"/>
  </cols>
  <sheetData>
    <row r="1">
      <c r="A1" s="1" t="s">
        <v>219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5"/>
    </row>
    <row r="3">
      <c r="A3" s="7" t="s">
        <v>220</v>
      </c>
      <c r="B3" s="10"/>
      <c r="D3" s="7" t="s">
        <v>85</v>
      </c>
      <c r="E3" s="9"/>
      <c r="F3" s="10"/>
      <c r="H3" s="7" t="s">
        <v>28</v>
      </c>
      <c r="I3" s="9"/>
      <c r="J3" s="9"/>
      <c r="K3" s="10"/>
      <c r="M3" s="7" t="s">
        <v>221</v>
      </c>
      <c r="N3" s="10"/>
      <c r="Q3" s="7" t="s">
        <v>23</v>
      </c>
      <c r="R3" s="9"/>
      <c r="S3" s="9"/>
      <c r="T3" s="9"/>
      <c r="U3" s="9"/>
      <c r="V3" s="10"/>
      <c r="X3" s="7" t="s">
        <v>223</v>
      </c>
      <c r="Y3" s="10"/>
      <c r="AA3" s="7" t="s">
        <v>224</v>
      </c>
      <c r="AB3" s="9"/>
      <c r="AC3" s="9"/>
      <c r="AD3" s="9"/>
      <c r="AE3" s="9"/>
      <c r="AF3" s="9"/>
      <c r="AG3" s="9"/>
      <c r="AH3" s="9"/>
      <c r="AI3" s="9"/>
      <c r="AJ3" s="9"/>
      <c r="AK3" s="9"/>
      <c r="AL3" s="9"/>
      <c r="AM3" s="9"/>
      <c r="AN3" s="9"/>
      <c r="AO3" s="9"/>
      <c r="AP3" s="10"/>
    </row>
    <row r="4">
      <c r="A4" s="15" t="s">
        <v>225</v>
      </c>
      <c r="B4" s="15" t="s">
        <v>226</v>
      </c>
      <c r="D4" s="15" t="s">
        <v>18</v>
      </c>
      <c r="E4" s="15" t="s">
        <v>96</v>
      </c>
      <c r="F4" s="15" t="s">
        <v>71</v>
      </c>
      <c r="H4" s="15" t="s">
        <v>28</v>
      </c>
      <c r="I4" s="15" t="s">
        <v>227</v>
      </c>
      <c r="J4" s="15" t="s">
        <v>40</v>
      </c>
      <c r="K4" s="15" t="s">
        <v>68</v>
      </c>
      <c r="M4" s="15" t="s">
        <v>30</v>
      </c>
      <c r="N4" s="15" t="s">
        <v>68</v>
      </c>
      <c r="Q4" s="15" t="s">
        <v>23</v>
      </c>
      <c r="R4" s="15" t="s">
        <v>228</v>
      </c>
      <c r="S4" s="15" t="s">
        <v>229</v>
      </c>
      <c r="T4" s="15" t="s">
        <v>230</v>
      </c>
      <c r="U4" s="15" t="s">
        <v>231</v>
      </c>
      <c r="V4" s="15" t="s">
        <v>232</v>
      </c>
      <c r="X4" s="15" t="s">
        <v>27</v>
      </c>
      <c r="Y4" s="15" t="s">
        <v>233</v>
      </c>
      <c r="AA4" s="15" t="s">
        <v>234</v>
      </c>
      <c r="AB4" s="15" t="s">
        <v>235</v>
      </c>
      <c r="AC4" s="15" t="s">
        <v>236</v>
      </c>
      <c r="AD4" s="15" t="s">
        <v>58</v>
      </c>
      <c r="AE4" s="15" t="s">
        <v>145</v>
      </c>
      <c r="AF4" s="15" t="s">
        <v>149</v>
      </c>
      <c r="AG4" s="15" t="s">
        <v>152</v>
      </c>
      <c r="AH4" s="15" t="s">
        <v>154</v>
      </c>
      <c r="AI4" s="15" t="s">
        <v>155</v>
      </c>
      <c r="AJ4" s="15" t="s">
        <v>156</v>
      </c>
      <c r="AK4" s="15" t="s">
        <v>157</v>
      </c>
      <c r="AL4" s="15" t="s">
        <v>158</v>
      </c>
      <c r="AM4" s="15" t="s">
        <v>159</v>
      </c>
      <c r="AN4" s="15" t="s">
        <v>162</v>
      </c>
      <c r="AO4" s="15" t="s">
        <v>163</v>
      </c>
      <c r="AP4" s="15" t="s">
        <v>68</v>
      </c>
    </row>
    <row r="5">
      <c r="A5" s="12" t="s">
        <v>237</v>
      </c>
      <c r="B5" s="12">
        <v>0.0</v>
      </c>
      <c r="D5" s="12" t="s">
        <v>238</v>
      </c>
      <c r="E5" s="12" t="s">
        <v>239</v>
      </c>
      <c r="F5" s="12" t="s">
        <v>237</v>
      </c>
      <c r="H5" s="12" t="s">
        <v>240</v>
      </c>
      <c r="I5" s="12" t="s">
        <v>241</v>
      </c>
      <c r="J5" s="12">
        <v>30.0</v>
      </c>
      <c r="K5" s="12"/>
      <c r="M5" s="12" t="s">
        <v>242</v>
      </c>
      <c r="N5" s="12"/>
      <c r="Q5" s="12" t="s">
        <v>243</v>
      </c>
      <c r="R5" s="12">
        <v>10.0</v>
      </c>
      <c r="S5" s="12">
        <v>99.0</v>
      </c>
      <c r="T5" s="12">
        <v>0.0</v>
      </c>
      <c r="U5" s="12" t="s">
        <v>190</v>
      </c>
      <c r="V5" s="12" t="s">
        <v>237</v>
      </c>
      <c r="X5" s="12" t="s">
        <v>237</v>
      </c>
      <c r="Y5" s="12">
        <v>0.0</v>
      </c>
      <c r="AA5" s="12" t="s">
        <v>244</v>
      </c>
      <c r="AB5" s="12" t="s">
        <v>245</v>
      </c>
      <c r="AC5" s="12" t="s">
        <v>246</v>
      </c>
      <c r="AD5" s="12" t="s">
        <v>247</v>
      </c>
      <c r="AE5" s="12"/>
      <c r="AF5" s="12"/>
      <c r="AG5" s="12" t="s">
        <v>190</v>
      </c>
      <c r="AH5" s="12" t="s">
        <v>73</v>
      </c>
      <c r="AI5" s="12" t="s">
        <v>190</v>
      </c>
      <c r="AJ5" s="12" t="s">
        <v>190</v>
      </c>
      <c r="AK5" s="12" t="s">
        <v>190</v>
      </c>
      <c r="AL5" s="12" t="s">
        <v>190</v>
      </c>
      <c r="AM5" s="12" t="s">
        <v>190</v>
      </c>
      <c r="AN5" s="12" t="s">
        <v>190</v>
      </c>
      <c r="AO5" s="12" t="s">
        <v>190</v>
      </c>
      <c r="AP5" s="12"/>
    </row>
    <row r="6">
      <c r="A6" s="12" t="s">
        <v>248</v>
      </c>
      <c r="B6" s="12">
        <v>0.5</v>
      </c>
      <c r="D6" s="12" t="s">
        <v>249</v>
      </c>
      <c r="E6" s="12" t="s">
        <v>250</v>
      </c>
      <c r="F6" s="12" t="s">
        <v>168</v>
      </c>
      <c r="H6" s="12" t="s">
        <v>251</v>
      </c>
      <c r="I6" s="12" t="s">
        <v>241</v>
      </c>
      <c r="J6" s="12">
        <v>30.0</v>
      </c>
      <c r="K6" s="12"/>
      <c r="M6" s="12" t="s">
        <v>252</v>
      </c>
      <c r="N6" s="12"/>
      <c r="Q6" s="12" t="s">
        <v>253</v>
      </c>
      <c r="R6" s="12">
        <v>11.0</v>
      </c>
      <c r="S6" s="12">
        <v>99.0</v>
      </c>
      <c r="T6" s="12">
        <v>0.0</v>
      </c>
      <c r="U6" s="12" t="s">
        <v>190</v>
      </c>
      <c r="V6" s="12" t="s">
        <v>154</v>
      </c>
      <c r="X6" s="12" t="s">
        <v>27</v>
      </c>
      <c r="Y6" s="12">
        <v>2.0</v>
      </c>
      <c r="AA6" s="12" t="s">
        <v>254</v>
      </c>
      <c r="AB6" s="12" t="s">
        <v>245</v>
      </c>
      <c r="AC6" s="12" t="s">
        <v>246</v>
      </c>
      <c r="AD6" s="12" t="s">
        <v>255</v>
      </c>
      <c r="AE6" s="12" t="s">
        <v>256</v>
      </c>
      <c r="AF6" s="12"/>
      <c r="AG6" s="12" t="s">
        <v>73</v>
      </c>
      <c r="AH6" s="12" t="s">
        <v>73</v>
      </c>
      <c r="AI6" s="12" t="s">
        <v>190</v>
      </c>
      <c r="AJ6" s="12" t="s">
        <v>190</v>
      </c>
      <c r="AK6" s="12" t="s">
        <v>73</v>
      </c>
      <c r="AL6" s="12" t="s">
        <v>190</v>
      </c>
      <c r="AM6" s="12" t="s">
        <v>190</v>
      </c>
      <c r="AN6" s="12" t="s">
        <v>190</v>
      </c>
      <c r="AO6" s="12" t="s">
        <v>190</v>
      </c>
      <c r="AP6" s="12"/>
    </row>
    <row r="7">
      <c r="A7" s="12" t="s">
        <v>257</v>
      </c>
      <c r="B7" s="12">
        <v>1.0</v>
      </c>
      <c r="D7" s="12" t="s">
        <v>258</v>
      </c>
      <c r="E7" s="12" t="s">
        <v>250</v>
      </c>
      <c r="F7" s="12" t="s">
        <v>167</v>
      </c>
      <c r="H7" s="12" t="s">
        <v>259</v>
      </c>
      <c r="I7" s="12" t="s">
        <v>241</v>
      </c>
      <c r="J7" s="12">
        <v>25.0</v>
      </c>
      <c r="K7" s="12"/>
      <c r="M7" s="12" t="s">
        <v>260</v>
      </c>
      <c r="N7" s="12"/>
      <c r="Q7" s="12" t="s">
        <v>261</v>
      </c>
      <c r="R7" s="12">
        <v>12.0</v>
      </c>
      <c r="S7" s="12">
        <v>99.0</v>
      </c>
      <c r="T7" s="12">
        <v>0.0</v>
      </c>
      <c r="U7" s="12" t="s">
        <v>190</v>
      </c>
      <c r="V7" s="12" t="s">
        <v>154</v>
      </c>
      <c r="AA7" s="12" t="s">
        <v>262</v>
      </c>
      <c r="AB7" s="12" t="s">
        <v>245</v>
      </c>
      <c r="AC7" s="12" t="s">
        <v>263</v>
      </c>
      <c r="AD7" s="12" t="s">
        <v>264</v>
      </c>
      <c r="AE7" s="12"/>
      <c r="AF7" s="12"/>
      <c r="AG7" s="12" t="s">
        <v>190</v>
      </c>
      <c r="AH7" s="12" t="s">
        <v>190</v>
      </c>
      <c r="AI7" s="12" t="s">
        <v>73</v>
      </c>
      <c r="AJ7" s="12" t="s">
        <v>190</v>
      </c>
      <c r="AK7" s="12" t="s">
        <v>190</v>
      </c>
      <c r="AL7" s="12" t="s">
        <v>190</v>
      </c>
      <c r="AM7" s="12" t="s">
        <v>190</v>
      </c>
      <c r="AN7" s="12" t="s">
        <v>190</v>
      </c>
      <c r="AO7" s="12" t="s">
        <v>190</v>
      </c>
      <c r="AP7" s="12"/>
    </row>
    <row r="8">
      <c r="A8" s="12" t="s">
        <v>265</v>
      </c>
      <c r="B8" s="12">
        <v>2.0</v>
      </c>
      <c r="D8" s="12" t="s">
        <v>266</v>
      </c>
      <c r="E8" s="12" t="s">
        <v>250</v>
      </c>
      <c r="F8" s="12" t="s">
        <v>167</v>
      </c>
      <c r="H8" s="12" t="s">
        <v>267</v>
      </c>
      <c r="I8" s="12" t="s">
        <v>268</v>
      </c>
      <c r="J8" s="12">
        <v>25.0</v>
      </c>
      <c r="K8" s="12"/>
      <c r="M8" s="12" t="s">
        <v>269</v>
      </c>
      <c r="N8" s="12"/>
      <c r="Q8" s="12" t="s">
        <v>270</v>
      </c>
      <c r="R8" s="12">
        <v>12.0</v>
      </c>
      <c r="S8" s="12">
        <v>2.0</v>
      </c>
      <c r="T8" s="12">
        <v>0.0</v>
      </c>
      <c r="U8" s="12" t="s">
        <v>190</v>
      </c>
      <c r="V8" s="12" t="s">
        <v>241</v>
      </c>
      <c r="AA8" s="12" t="s">
        <v>271</v>
      </c>
      <c r="AB8" s="12" t="s">
        <v>245</v>
      </c>
      <c r="AC8" s="12" t="s">
        <v>272</v>
      </c>
      <c r="AD8" s="12" t="s">
        <v>264</v>
      </c>
      <c r="AE8" s="12" t="s">
        <v>256</v>
      </c>
      <c r="AF8" s="12"/>
      <c r="AG8" s="12" t="s">
        <v>190</v>
      </c>
      <c r="AH8" s="12" t="s">
        <v>73</v>
      </c>
      <c r="AI8" s="12" t="s">
        <v>190</v>
      </c>
      <c r="AJ8" s="12" t="s">
        <v>190</v>
      </c>
      <c r="AK8" s="12" t="s">
        <v>73</v>
      </c>
      <c r="AL8" s="12" t="s">
        <v>190</v>
      </c>
      <c r="AM8" s="12" t="s">
        <v>190</v>
      </c>
      <c r="AN8" s="12" t="s">
        <v>190</v>
      </c>
      <c r="AO8" s="12" t="s">
        <v>190</v>
      </c>
      <c r="AP8" s="12"/>
    </row>
    <row r="9">
      <c r="D9" s="12" t="s">
        <v>273</v>
      </c>
      <c r="E9" s="12" t="s">
        <v>274</v>
      </c>
      <c r="F9" s="12" t="s">
        <v>237</v>
      </c>
      <c r="H9" s="12" t="s">
        <v>275</v>
      </c>
      <c r="I9" s="12" t="s">
        <v>241</v>
      </c>
      <c r="J9" s="12">
        <v>30.0</v>
      </c>
      <c r="K9" s="12"/>
      <c r="M9" s="12" t="s">
        <v>276</v>
      </c>
      <c r="N9" s="12"/>
      <c r="Q9" s="12" t="s">
        <v>277</v>
      </c>
      <c r="R9" s="12">
        <v>13.0</v>
      </c>
      <c r="S9" s="12">
        <v>2.0</v>
      </c>
      <c r="T9" s="12">
        <v>0.0</v>
      </c>
      <c r="U9" s="12" t="s">
        <v>190</v>
      </c>
      <c r="V9" s="12" t="s">
        <v>241</v>
      </c>
      <c r="AA9" s="12" t="s">
        <v>278</v>
      </c>
      <c r="AB9" s="12" t="s">
        <v>245</v>
      </c>
      <c r="AC9" s="12" t="s">
        <v>279</v>
      </c>
      <c r="AD9" s="12" t="s">
        <v>264</v>
      </c>
      <c r="AE9" s="12"/>
      <c r="AF9" s="12" t="s">
        <v>280</v>
      </c>
      <c r="AG9" s="12" t="s">
        <v>190</v>
      </c>
      <c r="AH9" s="12" t="s">
        <v>190</v>
      </c>
      <c r="AI9" s="12" t="s">
        <v>190</v>
      </c>
      <c r="AJ9" s="12" t="s">
        <v>73</v>
      </c>
      <c r="AK9" s="12" t="s">
        <v>190</v>
      </c>
      <c r="AL9" s="12" t="s">
        <v>190</v>
      </c>
      <c r="AM9" s="12" t="s">
        <v>190</v>
      </c>
      <c r="AN9" s="12" t="s">
        <v>190</v>
      </c>
      <c r="AO9" s="12" t="s">
        <v>190</v>
      </c>
      <c r="AP9" s="12"/>
    </row>
    <row r="10">
      <c r="D10" s="12" t="s">
        <v>281</v>
      </c>
      <c r="E10" s="12" t="s">
        <v>250</v>
      </c>
      <c r="F10" s="12" t="s">
        <v>167</v>
      </c>
      <c r="H10" s="12" t="s">
        <v>282</v>
      </c>
      <c r="I10" s="12" t="s">
        <v>241</v>
      </c>
      <c r="J10" s="12">
        <v>30.0</v>
      </c>
      <c r="K10" s="12"/>
      <c r="M10" s="12" t="s">
        <v>283</v>
      </c>
      <c r="N10" s="12"/>
      <c r="Q10" s="12" t="s">
        <v>284</v>
      </c>
      <c r="R10" s="12">
        <v>14.0</v>
      </c>
      <c r="S10" s="12">
        <v>2.0</v>
      </c>
      <c r="T10" s="12">
        <v>0.0</v>
      </c>
      <c r="U10" s="12" t="s">
        <v>73</v>
      </c>
      <c r="V10" s="12" t="s">
        <v>241</v>
      </c>
      <c r="AA10" s="12" t="s">
        <v>285</v>
      </c>
      <c r="AB10" s="12" t="s">
        <v>245</v>
      </c>
      <c r="AC10" s="12" t="s">
        <v>272</v>
      </c>
      <c r="AD10" s="12" t="s">
        <v>247</v>
      </c>
      <c r="AE10" s="12"/>
      <c r="AF10" s="12"/>
      <c r="AG10" s="12" t="s">
        <v>190</v>
      </c>
      <c r="AH10" s="12" t="s">
        <v>190</v>
      </c>
      <c r="AI10" s="12" t="s">
        <v>190</v>
      </c>
      <c r="AJ10" s="12" t="s">
        <v>190</v>
      </c>
      <c r="AK10" s="12" t="s">
        <v>190</v>
      </c>
      <c r="AL10" s="12" t="s">
        <v>190</v>
      </c>
      <c r="AM10" s="12" t="s">
        <v>190</v>
      </c>
      <c r="AN10" s="12" t="s">
        <v>190</v>
      </c>
      <c r="AO10" s="12" t="s">
        <v>190</v>
      </c>
      <c r="AP10" s="12"/>
    </row>
    <row r="11">
      <c r="D11" s="12" t="s">
        <v>286</v>
      </c>
      <c r="E11" s="12" t="s">
        <v>274</v>
      </c>
      <c r="F11" s="12" t="s">
        <v>168</v>
      </c>
      <c r="H11" s="12" t="s">
        <v>287</v>
      </c>
      <c r="I11" s="12"/>
      <c r="J11" s="12"/>
      <c r="K11" s="12"/>
      <c r="M11" s="12" t="s">
        <v>288</v>
      </c>
      <c r="N11" s="12"/>
      <c r="Q11" s="12" t="s">
        <v>289</v>
      </c>
      <c r="R11" s="12">
        <v>14.0</v>
      </c>
      <c r="S11" s="12">
        <v>2.0</v>
      </c>
      <c r="T11" s="12">
        <v>0.0</v>
      </c>
      <c r="U11" s="12" t="s">
        <v>190</v>
      </c>
      <c r="V11" s="12" t="s">
        <v>241</v>
      </c>
      <c r="AA11" s="12" t="s">
        <v>290</v>
      </c>
      <c r="AB11" s="12" t="s">
        <v>245</v>
      </c>
      <c r="AC11" s="12" t="s">
        <v>272</v>
      </c>
      <c r="AD11" s="12" t="s">
        <v>247</v>
      </c>
      <c r="AE11" s="12"/>
      <c r="AF11" s="12" t="s">
        <v>279</v>
      </c>
      <c r="AG11" s="12" t="s">
        <v>190</v>
      </c>
      <c r="AH11" s="12" t="s">
        <v>190</v>
      </c>
      <c r="AI11" s="12" t="s">
        <v>190</v>
      </c>
      <c r="AJ11" s="12" t="s">
        <v>73</v>
      </c>
      <c r="AK11" s="12" t="s">
        <v>190</v>
      </c>
      <c r="AL11" s="12" t="s">
        <v>190</v>
      </c>
      <c r="AM11" s="12" t="s">
        <v>190</v>
      </c>
      <c r="AN11" s="12" t="s">
        <v>190</v>
      </c>
      <c r="AO11" s="12" t="s">
        <v>190</v>
      </c>
      <c r="AP11" s="12"/>
    </row>
    <row r="12">
      <c r="D12" s="12" t="s">
        <v>291</v>
      </c>
      <c r="E12" s="12" t="s">
        <v>274</v>
      </c>
      <c r="F12" s="12" t="s">
        <v>167</v>
      </c>
      <c r="H12" s="12" t="s">
        <v>292</v>
      </c>
      <c r="I12" s="12"/>
      <c r="J12" s="12"/>
      <c r="K12" s="12"/>
      <c r="Q12" s="12" t="s">
        <v>293</v>
      </c>
      <c r="R12" s="12">
        <v>15.0</v>
      </c>
      <c r="S12" s="12">
        <v>2.0</v>
      </c>
      <c r="T12" s="12">
        <v>0.0</v>
      </c>
      <c r="U12" s="12" t="s">
        <v>73</v>
      </c>
      <c r="V12" s="12" t="s">
        <v>241</v>
      </c>
      <c r="AA12" s="12" t="s">
        <v>294</v>
      </c>
      <c r="AB12" s="12" t="s">
        <v>245</v>
      </c>
      <c r="AC12" s="12" t="s">
        <v>279</v>
      </c>
      <c r="AD12" s="12" t="s">
        <v>255</v>
      </c>
      <c r="AE12" s="12"/>
      <c r="AF12" s="12"/>
      <c r="AG12" s="12" t="s">
        <v>73</v>
      </c>
      <c r="AH12" s="12" t="s">
        <v>190</v>
      </c>
      <c r="AI12" s="12" t="s">
        <v>190</v>
      </c>
      <c r="AJ12" s="12" t="s">
        <v>190</v>
      </c>
      <c r="AK12" s="12" t="s">
        <v>190</v>
      </c>
      <c r="AL12" s="12" t="s">
        <v>190</v>
      </c>
      <c r="AM12" s="12" t="s">
        <v>190</v>
      </c>
      <c r="AN12" s="12" t="s">
        <v>190</v>
      </c>
      <c r="AO12" s="12" t="s">
        <v>190</v>
      </c>
      <c r="AP12" s="12"/>
    </row>
    <row r="13">
      <c r="D13" s="12" t="s">
        <v>295</v>
      </c>
      <c r="E13" s="12" t="s">
        <v>250</v>
      </c>
      <c r="F13" s="12" t="s">
        <v>237</v>
      </c>
      <c r="Q13" s="12" t="s">
        <v>296</v>
      </c>
      <c r="R13" s="12">
        <v>14.0</v>
      </c>
      <c r="S13" s="12">
        <v>0.0</v>
      </c>
      <c r="T13" s="12">
        <v>0.0</v>
      </c>
      <c r="U13" s="12" t="s">
        <v>73</v>
      </c>
      <c r="V13" s="12" t="s">
        <v>297</v>
      </c>
      <c r="AA13" s="12" t="s">
        <v>298</v>
      </c>
      <c r="AB13" s="12" t="s">
        <v>245</v>
      </c>
      <c r="AC13" s="12" t="s">
        <v>272</v>
      </c>
      <c r="AD13" s="12" t="s">
        <v>264</v>
      </c>
      <c r="AE13" s="12"/>
      <c r="AF13" s="12"/>
      <c r="AG13" s="12" t="s">
        <v>73</v>
      </c>
      <c r="AH13" s="12" t="s">
        <v>73</v>
      </c>
      <c r="AI13" s="12" t="s">
        <v>190</v>
      </c>
      <c r="AJ13" s="12" t="s">
        <v>190</v>
      </c>
      <c r="AK13" s="12" t="s">
        <v>190</v>
      </c>
      <c r="AL13" s="12" t="s">
        <v>190</v>
      </c>
      <c r="AM13" s="12" t="s">
        <v>190</v>
      </c>
      <c r="AN13" s="12" t="s">
        <v>190</v>
      </c>
      <c r="AO13" s="12" t="s">
        <v>190</v>
      </c>
      <c r="AP13" s="12"/>
    </row>
    <row r="14">
      <c r="D14" s="12" t="s">
        <v>299</v>
      </c>
      <c r="E14" s="12" t="s">
        <v>300</v>
      </c>
      <c r="F14" s="12" t="s">
        <v>168</v>
      </c>
      <c r="Q14" s="12" t="s">
        <v>301</v>
      </c>
      <c r="R14" s="12">
        <v>16.0</v>
      </c>
      <c r="S14" s="12">
        <v>0.0</v>
      </c>
      <c r="T14" s="12">
        <v>13.0</v>
      </c>
      <c r="U14" s="12" t="s">
        <v>73</v>
      </c>
      <c r="V14" s="12" t="s">
        <v>297</v>
      </c>
      <c r="AA14" s="12" t="s">
        <v>303</v>
      </c>
      <c r="AB14" s="12" t="s">
        <v>245</v>
      </c>
      <c r="AC14" s="12" t="s">
        <v>272</v>
      </c>
      <c r="AD14" s="12" t="s">
        <v>255</v>
      </c>
      <c r="AE14" s="12"/>
      <c r="AF14" s="12"/>
      <c r="AG14" s="12" t="s">
        <v>73</v>
      </c>
      <c r="AH14" s="12" t="s">
        <v>73</v>
      </c>
      <c r="AI14" s="12" t="s">
        <v>190</v>
      </c>
      <c r="AJ14" s="12" t="s">
        <v>190</v>
      </c>
      <c r="AK14" s="12" t="s">
        <v>190</v>
      </c>
      <c r="AL14" s="12" t="s">
        <v>190</v>
      </c>
      <c r="AM14" s="12" t="s">
        <v>190</v>
      </c>
      <c r="AN14" s="12" t="s">
        <v>190</v>
      </c>
      <c r="AO14" s="12" t="s">
        <v>190</v>
      </c>
      <c r="AP14" s="12"/>
    </row>
    <row r="15">
      <c r="D15" s="12" t="s">
        <v>304</v>
      </c>
      <c r="E15" s="12" t="s">
        <v>250</v>
      </c>
      <c r="F15" s="12" t="s">
        <v>168</v>
      </c>
      <c r="Q15" s="12" t="s">
        <v>305</v>
      </c>
      <c r="R15" s="12">
        <v>17.0</v>
      </c>
      <c r="S15" s="12">
        <v>0.0</v>
      </c>
      <c r="T15" s="12">
        <v>15.0</v>
      </c>
      <c r="U15" s="12" t="s">
        <v>73</v>
      </c>
      <c r="V15" s="12" t="s">
        <v>297</v>
      </c>
      <c r="AA15" s="12" t="s">
        <v>306</v>
      </c>
      <c r="AB15" s="12" t="s">
        <v>245</v>
      </c>
      <c r="AC15" s="12" t="s">
        <v>272</v>
      </c>
      <c r="AD15" s="12" t="s">
        <v>255</v>
      </c>
      <c r="AE15" s="12" t="s">
        <v>256</v>
      </c>
      <c r="AF15" s="12" t="s">
        <v>279</v>
      </c>
      <c r="AG15" s="12" t="s">
        <v>190</v>
      </c>
      <c r="AH15" s="12" t="s">
        <v>190</v>
      </c>
      <c r="AI15" s="12" t="s">
        <v>190</v>
      </c>
      <c r="AJ15" s="12" t="s">
        <v>73</v>
      </c>
      <c r="AK15" s="12" t="s">
        <v>73</v>
      </c>
      <c r="AL15" s="12" t="s">
        <v>190</v>
      </c>
      <c r="AM15" s="12" t="s">
        <v>190</v>
      </c>
      <c r="AN15" s="12" t="s">
        <v>190</v>
      </c>
      <c r="AO15" s="12" t="s">
        <v>190</v>
      </c>
      <c r="AP15" s="12"/>
    </row>
    <row r="16">
      <c r="D16" s="12" t="s">
        <v>307</v>
      </c>
      <c r="E16" s="12" t="s">
        <v>300</v>
      </c>
      <c r="F16" s="12" t="s">
        <v>166</v>
      </c>
      <c r="Q16" s="12" t="s">
        <v>308</v>
      </c>
      <c r="R16" s="12">
        <v>18.0</v>
      </c>
      <c r="S16" s="12">
        <v>0.0</v>
      </c>
      <c r="T16" s="12">
        <v>15.0</v>
      </c>
      <c r="U16" s="12" t="s">
        <v>73</v>
      </c>
      <c r="V16" s="12" t="s">
        <v>297</v>
      </c>
      <c r="AA16" s="12" t="s">
        <v>309</v>
      </c>
      <c r="AB16" s="12" t="s">
        <v>158</v>
      </c>
      <c r="AC16" s="12" t="s">
        <v>272</v>
      </c>
      <c r="AD16" s="12" t="s">
        <v>255</v>
      </c>
      <c r="AE16" s="12" t="s">
        <v>310</v>
      </c>
      <c r="AF16" s="12"/>
      <c r="AG16" s="12" t="s">
        <v>190</v>
      </c>
      <c r="AH16" s="12" t="s">
        <v>190</v>
      </c>
      <c r="AI16" s="12" t="s">
        <v>73</v>
      </c>
      <c r="AJ16" s="12" t="s">
        <v>190</v>
      </c>
      <c r="AK16" s="12" t="s">
        <v>190</v>
      </c>
      <c r="AL16" s="12" t="s">
        <v>73</v>
      </c>
      <c r="AM16" s="12" t="s">
        <v>73</v>
      </c>
      <c r="AN16" s="12" t="s">
        <v>190</v>
      </c>
      <c r="AO16" s="12" t="s">
        <v>190</v>
      </c>
      <c r="AP16" s="12"/>
    </row>
    <row r="17">
      <c r="D17" s="12" t="s">
        <v>311</v>
      </c>
      <c r="E17" s="12"/>
      <c r="F17" s="12"/>
      <c r="AA17" s="12" t="s">
        <v>312</v>
      </c>
      <c r="AB17" s="12" t="s">
        <v>158</v>
      </c>
      <c r="AC17" s="12" t="s">
        <v>279</v>
      </c>
      <c r="AD17" s="12" t="s">
        <v>255</v>
      </c>
      <c r="AE17" s="12" t="s">
        <v>313</v>
      </c>
      <c r="AF17" s="12"/>
      <c r="AG17" s="12" t="s">
        <v>190</v>
      </c>
      <c r="AH17" s="12" t="s">
        <v>190</v>
      </c>
      <c r="AI17" s="12" t="s">
        <v>73</v>
      </c>
      <c r="AJ17" s="12" t="s">
        <v>190</v>
      </c>
      <c r="AK17" s="12" t="s">
        <v>190</v>
      </c>
      <c r="AL17" s="12" t="s">
        <v>73</v>
      </c>
      <c r="AM17" s="12" t="s">
        <v>73</v>
      </c>
      <c r="AN17" s="12" t="s">
        <v>190</v>
      </c>
      <c r="AO17" s="12" t="s">
        <v>190</v>
      </c>
      <c r="AP17" s="12"/>
    </row>
    <row r="18">
      <c r="D18" s="12" t="s">
        <v>314</v>
      </c>
      <c r="E18" s="12"/>
      <c r="F18" s="12"/>
      <c r="AA18" s="12" t="s">
        <v>315</v>
      </c>
      <c r="AB18" s="12" t="s">
        <v>158</v>
      </c>
      <c r="AC18" s="12" t="s">
        <v>279</v>
      </c>
      <c r="AD18" s="12" t="s">
        <v>255</v>
      </c>
      <c r="AE18" s="12" t="s">
        <v>310</v>
      </c>
      <c r="AF18" s="12"/>
      <c r="AG18" s="12" t="s">
        <v>190</v>
      </c>
      <c r="AH18" s="12" t="s">
        <v>190</v>
      </c>
      <c r="AI18" s="12" t="s">
        <v>73</v>
      </c>
      <c r="AJ18" s="12" t="s">
        <v>190</v>
      </c>
      <c r="AK18" s="12" t="s">
        <v>190</v>
      </c>
      <c r="AL18" s="12" t="s">
        <v>73</v>
      </c>
      <c r="AM18" s="12" t="s">
        <v>73</v>
      </c>
      <c r="AN18" s="12" t="s">
        <v>73</v>
      </c>
      <c r="AO18" s="12" t="s">
        <v>190</v>
      </c>
      <c r="AP18" s="12"/>
    </row>
    <row r="19">
      <c r="AA19" s="12" t="s">
        <v>316</v>
      </c>
      <c r="AB19" s="12" t="s">
        <v>245</v>
      </c>
      <c r="AC19" s="12" t="s">
        <v>176</v>
      </c>
      <c r="AD19" s="12" t="s">
        <v>247</v>
      </c>
      <c r="AE19" s="12"/>
      <c r="AF19" s="12"/>
      <c r="AG19" s="12" t="s">
        <v>190</v>
      </c>
      <c r="AH19" s="12" t="s">
        <v>190</v>
      </c>
      <c r="AI19" s="12" t="s">
        <v>190</v>
      </c>
      <c r="AJ19" s="12" t="s">
        <v>190</v>
      </c>
      <c r="AK19" s="12" t="s">
        <v>190</v>
      </c>
      <c r="AL19" s="12" t="s">
        <v>190</v>
      </c>
      <c r="AM19" s="12" t="s">
        <v>190</v>
      </c>
      <c r="AN19" s="12" t="s">
        <v>190</v>
      </c>
      <c r="AO19" s="12" t="s">
        <v>190</v>
      </c>
      <c r="AP19" s="12"/>
    </row>
    <row r="20">
      <c r="AA20" s="12" t="s">
        <v>317</v>
      </c>
      <c r="AB20" s="12"/>
      <c r="AC20" s="12"/>
      <c r="AD20" s="12"/>
      <c r="AE20" s="12"/>
      <c r="AF20" s="12"/>
      <c r="AG20" s="12"/>
      <c r="AH20" s="12"/>
      <c r="AI20" s="12"/>
      <c r="AJ20" s="12"/>
      <c r="AK20" s="12"/>
      <c r="AL20" s="12"/>
      <c r="AM20" s="12"/>
      <c r="AN20" s="12"/>
      <c r="AO20" s="12"/>
      <c r="AP20" s="12"/>
    </row>
    <row r="21" ht="15.75" customHeight="1">
      <c r="AA21" s="12" t="s">
        <v>318</v>
      </c>
      <c r="AB21" s="12"/>
      <c r="AC21" s="12"/>
      <c r="AD21" s="12"/>
      <c r="AE21" s="12"/>
      <c r="AF21" s="12"/>
      <c r="AG21" s="12"/>
      <c r="AH21" s="12"/>
      <c r="AI21" s="12"/>
      <c r="AJ21" s="12"/>
      <c r="AK21" s="12"/>
      <c r="AL21" s="12"/>
      <c r="AM21" s="12"/>
      <c r="AN21" s="12"/>
      <c r="AO21" s="12"/>
      <c r="AP21" s="12"/>
    </row>
    <row r="22" ht="15.75" customHeight="1">
      <c r="AA22" s="12" t="s">
        <v>319</v>
      </c>
      <c r="AB22" s="12"/>
      <c r="AC22" s="12"/>
      <c r="AD22" s="12"/>
      <c r="AE22" s="12"/>
      <c r="AF22" s="12"/>
      <c r="AG22" s="12"/>
      <c r="AH22" s="12"/>
      <c r="AI22" s="12"/>
      <c r="AJ22" s="12"/>
      <c r="AK22" s="12"/>
      <c r="AL22" s="12"/>
      <c r="AM22" s="12"/>
      <c r="AN22" s="12"/>
      <c r="AO22" s="12"/>
      <c r="AP22" s="12"/>
    </row>
    <row r="23" ht="15.75" customHeight="1">
      <c r="AA23" s="12" t="s">
        <v>320</v>
      </c>
      <c r="AB23" s="12"/>
      <c r="AC23" s="12"/>
      <c r="AD23" s="12"/>
      <c r="AE23" s="12"/>
      <c r="AF23" s="12"/>
      <c r="AG23" s="12"/>
      <c r="AH23" s="12"/>
      <c r="AI23" s="12"/>
      <c r="AJ23" s="12"/>
      <c r="AK23" s="12"/>
      <c r="AL23" s="12"/>
      <c r="AM23" s="12"/>
      <c r="AN23" s="12"/>
      <c r="AO23" s="12"/>
      <c r="AP23" s="12"/>
    </row>
    <row r="24" ht="15.75" customHeight="1">
      <c r="AA24" s="12" t="s">
        <v>321</v>
      </c>
      <c r="AB24" s="12"/>
      <c r="AC24" s="12"/>
      <c r="AD24" s="12"/>
      <c r="AE24" s="12"/>
      <c r="AF24" s="12"/>
      <c r="AG24" s="12"/>
      <c r="AH24" s="12"/>
      <c r="AI24" s="12"/>
      <c r="AJ24" s="12"/>
      <c r="AK24" s="12"/>
      <c r="AL24" s="12"/>
      <c r="AM24" s="12"/>
      <c r="AN24" s="12"/>
      <c r="AO24" s="12"/>
      <c r="AP24" s="1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P1"/>
    <mergeCell ref="A3:B3"/>
    <mergeCell ref="D3:F3"/>
    <mergeCell ref="H3:K3"/>
    <mergeCell ref="M3:N3"/>
    <mergeCell ref="Q3:V3"/>
    <mergeCell ref="X3:Y3"/>
    <mergeCell ref="AA3:AP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8.0"/>
    <col customWidth="1" min="3" max="3" width="12.0"/>
    <col customWidth="1" min="4" max="4" width="14.0"/>
    <col customWidth="1" min="5" max="5" width="12.0"/>
    <col customWidth="1" min="6" max="6" width="16.0"/>
    <col customWidth="1" min="7" max="7" width="14.0"/>
    <col customWidth="1" min="8" max="8" width="12.0"/>
    <col customWidth="1" min="9" max="9" width="18.0"/>
    <col customWidth="1" min="10" max="10" width="12.0"/>
    <col customWidth="1" min="11" max="11" width="14.0"/>
    <col customWidth="1" min="12" max="12" width="10.0"/>
    <col customWidth="1" min="13" max="13" width="18.0"/>
    <col customWidth="1" min="14" max="14" width="10.0"/>
    <col customWidth="1" min="15" max="15" width="18.0"/>
    <col customWidth="1" min="16" max="16" width="14.0"/>
    <col customWidth="1" min="17" max="17" width="22.0"/>
    <col customWidth="1" min="18" max="18" width="30.0"/>
    <col customWidth="1" min="19" max="26" width="8.71"/>
  </cols>
  <sheetData>
    <row r="1">
      <c r="A1" s="1" t="s">
        <v>323</v>
      </c>
      <c r="B1" s="3"/>
      <c r="C1" s="3"/>
      <c r="D1" s="3"/>
      <c r="E1" s="3"/>
      <c r="F1" s="3"/>
      <c r="G1" s="3"/>
      <c r="H1" s="3"/>
      <c r="I1" s="3"/>
      <c r="J1" s="3"/>
      <c r="K1" s="3"/>
      <c r="L1" s="3"/>
      <c r="M1" s="3"/>
      <c r="N1" s="3"/>
      <c r="O1" s="3"/>
      <c r="P1" s="3"/>
      <c r="Q1" s="3"/>
      <c r="R1" s="5"/>
    </row>
    <row r="3">
      <c r="A3" s="15" t="s">
        <v>6</v>
      </c>
      <c r="B3" s="15" t="s">
        <v>29</v>
      </c>
      <c r="C3" s="15" t="s">
        <v>47</v>
      </c>
      <c r="D3" s="15" t="s">
        <v>49</v>
      </c>
      <c r="E3" s="15" t="s">
        <v>51</v>
      </c>
      <c r="F3" s="15" t="s">
        <v>53</v>
      </c>
      <c r="G3" s="15" t="s">
        <v>54</v>
      </c>
      <c r="H3" s="15" t="s">
        <v>56</v>
      </c>
      <c r="I3" s="15" t="s">
        <v>57</v>
      </c>
      <c r="J3" s="15" t="s">
        <v>58</v>
      </c>
      <c r="K3" s="15" t="s">
        <v>59</v>
      </c>
      <c r="L3" s="15" t="s">
        <v>60</v>
      </c>
      <c r="M3" s="15" t="s">
        <v>61</v>
      </c>
      <c r="N3" s="15" t="s">
        <v>62</v>
      </c>
      <c r="O3" s="15" t="s">
        <v>63</v>
      </c>
      <c r="P3" s="15" t="s">
        <v>64</v>
      </c>
      <c r="Q3" s="15" t="s">
        <v>65</v>
      </c>
      <c r="R3" s="15" t="s">
        <v>68</v>
      </c>
    </row>
    <row r="4">
      <c r="A4" s="12" t="s">
        <v>324</v>
      </c>
      <c r="B4" s="12">
        <v>0.0</v>
      </c>
      <c r="C4" s="12" t="s">
        <v>325</v>
      </c>
      <c r="D4" s="12" t="s">
        <v>7</v>
      </c>
      <c r="E4" s="12" t="s">
        <v>171</v>
      </c>
      <c r="F4" s="12"/>
      <c r="G4" s="12" t="s">
        <v>326</v>
      </c>
      <c r="H4" s="12" t="s">
        <v>164</v>
      </c>
      <c r="I4" s="12" t="s">
        <v>272</v>
      </c>
      <c r="J4" s="12" t="s">
        <v>327</v>
      </c>
      <c r="K4" s="12" t="s">
        <v>190</v>
      </c>
      <c r="L4" s="12" t="s">
        <v>190</v>
      </c>
      <c r="M4" s="12" t="s">
        <v>328</v>
      </c>
      <c r="N4" s="12" t="s">
        <v>237</v>
      </c>
      <c r="O4" s="12"/>
      <c r="P4" s="12" t="s">
        <v>329</v>
      </c>
      <c r="Q4" s="12" t="s">
        <v>330</v>
      </c>
      <c r="R4" s="12"/>
    </row>
    <row r="5">
      <c r="A5" s="12" t="s">
        <v>208</v>
      </c>
      <c r="B5" s="12">
        <v>1.0</v>
      </c>
      <c r="C5" s="12" t="s">
        <v>331</v>
      </c>
      <c r="D5" s="12" t="s">
        <v>7</v>
      </c>
      <c r="E5" s="12" t="s">
        <v>332</v>
      </c>
      <c r="F5" s="12"/>
      <c r="G5" s="12"/>
      <c r="H5" s="12"/>
      <c r="I5" s="12" t="s">
        <v>246</v>
      </c>
      <c r="J5" s="12" t="s">
        <v>332</v>
      </c>
      <c r="K5" s="12" t="s">
        <v>73</v>
      </c>
      <c r="L5" s="12" t="s">
        <v>190</v>
      </c>
      <c r="M5" s="12" t="s">
        <v>333</v>
      </c>
      <c r="N5" s="12" t="s">
        <v>334</v>
      </c>
      <c r="O5" s="12"/>
      <c r="P5" s="12" t="s">
        <v>237</v>
      </c>
      <c r="Q5" s="12"/>
      <c r="R5" s="12" t="s">
        <v>335</v>
      </c>
    </row>
    <row r="6">
      <c r="A6" s="12" t="s">
        <v>336</v>
      </c>
      <c r="B6" s="12">
        <v>3.0</v>
      </c>
      <c r="C6" s="12" t="s">
        <v>337</v>
      </c>
      <c r="D6" s="12" t="s">
        <v>111</v>
      </c>
      <c r="E6" s="12" t="s">
        <v>332</v>
      </c>
      <c r="F6" s="12"/>
      <c r="G6" s="12"/>
      <c r="H6" s="12"/>
      <c r="I6" s="12"/>
      <c r="J6" s="12"/>
      <c r="K6" s="12" t="s">
        <v>190</v>
      </c>
      <c r="L6" s="12" t="s">
        <v>190</v>
      </c>
      <c r="M6" s="12" t="s">
        <v>328</v>
      </c>
      <c r="N6" s="12" t="s">
        <v>334</v>
      </c>
      <c r="O6" s="12"/>
      <c r="P6" s="12" t="s">
        <v>237</v>
      </c>
      <c r="Q6" s="12"/>
      <c r="R6" s="12" t="s">
        <v>338</v>
      </c>
    </row>
    <row r="7">
      <c r="A7" s="12" t="s">
        <v>339</v>
      </c>
      <c r="B7" s="12">
        <v>1.0</v>
      </c>
      <c r="C7" s="12" t="s">
        <v>340</v>
      </c>
      <c r="D7" s="12" t="s">
        <v>7</v>
      </c>
      <c r="E7" s="12" t="s">
        <v>341</v>
      </c>
      <c r="F7" s="12"/>
      <c r="G7" s="12"/>
      <c r="H7" s="12"/>
      <c r="I7" s="12" t="s">
        <v>342</v>
      </c>
      <c r="J7" s="12" t="s">
        <v>343</v>
      </c>
      <c r="K7" s="12" t="s">
        <v>190</v>
      </c>
      <c r="L7" s="12" t="s">
        <v>190</v>
      </c>
      <c r="M7" s="12" t="s">
        <v>328</v>
      </c>
      <c r="N7" s="12" t="s">
        <v>334</v>
      </c>
      <c r="O7" s="12"/>
      <c r="P7" s="12" t="s">
        <v>344</v>
      </c>
      <c r="Q7" s="12" t="s">
        <v>345</v>
      </c>
      <c r="R7" s="12"/>
    </row>
    <row r="8">
      <c r="A8" s="12" t="s">
        <v>346</v>
      </c>
      <c r="B8" s="12">
        <v>0.0</v>
      </c>
      <c r="C8" s="12" t="s">
        <v>340</v>
      </c>
      <c r="D8" s="12" t="s">
        <v>7</v>
      </c>
      <c r="E8" s="12" t="s">
        <v>347</v>
      </c>
      <c r="F8" s="12" t="s">
        <v>205</v>
      </c>
      <c r="G8" s="12"/>
      <c r="H8" s="12"/>
      <c r="I8" s="12" t="s">
        <v>280</v>
      </c>
      <c r="J8" s="12" t="s">
        <v>349</v>
      </c>
      <c r="K8" s="12" t="s">
        <v>190</v>
      </c>
      <c r="L8" s="12" t="s">
        <v>190</v>
      </c>
      <c r="M8" s="12" t="s">
        <v>328</v>
      </c>
      <c r="N8" s="12" t="s">
        <v>237</v>
      </c>
      <c r="O8" s="12"/>
      <c r="P8" s="12" t="s">
        <v>329</v>
      </c>
      <c r="Q8" s="12" t="s">
        <v>350</v>
      </c>
      <c r="R8" s="12"/>
    </row>
    <row r="9">
      <c r="A9" s="12" t="s">
        <v>178</v>
      </c>
      <c r="B9" s="12">
        <v>0.0</v>
      </c>
      <c r="C9" s="12" t="s">
        <v>340</v>
      </c>
      <c r="D9" s="12" t="s">
        <v>7</v>
      </c>
      <c r="E9" s="12" t="s">
        <v>347</v>
      </c>
      <c r="F9" s="12" t="s">
        <v>205</v>
      </c>
      <c r="G9" s="12"/>
      <c r="H9" s="12"/>
      <c r="I9" s="12" t="s">
        <v>280</v>
      </c>
      <c r="J9" s="12" t="s">
        <v>351</v>
      </c>
      <c r="K9" s="12" t="s">
        <v>190</v>
      </c>
      <c r="L9" s="12" t="s">
        <v>190</v>
      </c>
      <c r="M9" s="12" t="s">
        <v>328</v>
      </c>
      <c r="N9" s="12" t="s">
        <v>237</v>
      </c>
      <c r="O9" s="12"/>
      <c r="P9" s="12" t="s">
        <v>329</v>
      </c>
      <c r="Q9" s="12" t="s">
        <v>352</v>
      </c>
      <c r="R9" s="12"/>
    </row>
    <row r="10">
      <c r="A10" s="12" t="s">
        <v>191</v>
      </c>
      <c r="B10" s="12">
        <v>3.0</v>
      </c>
      <c r="C10" s="12" t="s">
        <v>340</v>
      </c>
      <c r="D10" s="12" t="s">
        <v>7</v>
      </c>
      <c r="E10" s="12" t="s">
        <v>171</v>
      </c>
      <c r="F10" s="12"/>
      <c r="G10" s="12" t="s">
        <v>326</v>
      </c>
      <c r="H10" s="12" t="s">
        <v>164</v>
      </c>
      <c r="I10" s="12" t="s">
        <v>353</v>
      </c>
      <c r="J10" s="12" t="s">
        <v>351</v>
      </c>
      <c r="K10" s="12" t="s">
        <v>190</v>
      </c>
      <c r="L10" s="12" t="s">
        <v>190</v>
      </c>
      <c r="M10" s="12" t="s">
        <v>328</v>
      </c>
      <c r="N10" s="12" t="s">
        <v>334</v>
      </c>
      <c r="O10" s="12"/>
      <c r="P10" s="12" t="s">
        <v>344</v>
      </c>
      <c r="Q10" s="12" t="s">
        <v>354</v>
      </c>
      <c r="R10" s="12"/>
    </row>
    <row r="11">
      <c r="A11" s="12" t="s">
        <v>355</v>
      </c>
      <c r="B11" s="12">
        <v>1.0</v>
      </c>
      <c r="C11" s="12" t="s">
        <v>340</v>
      </c>
      <c r="D11" s="12" t="s">
        <v>7</v>
      </c>
      <c r="E11" s="12" t="s">
        <v>347</v>
      </c>
      <c r="F11" s="12" t="s">
        <v>205</v>
      </c>
      <c r="G11" s="12"/>
      <c r="H11" s="12"/>
      <c r="I11" s="12" t="s">
        <v>356</v>
      </c>
      <c r="J11" s="12" t="s">
        <v>357</v>
      </c>
      <c r="K11" s="12" t="s">
        <v>190</v>
      </c>
      <c r="L11" s="12" t="s">
        <v>190</v>
      </c>
      <c r="M11" s="12" t="s">
        <v>358</v>
      </c>
      <c r="N11" s="12" t="s">
        <v>334</v>
      </c>
      <c r="O11" s="12"/>
      <c r="P11" s="12" t="s">
        <v>344</v>
      </c>
      <c r="Q11" s="12" t="s">
        <v>354</v>
      </c>
      <c r="R11" s="12" t="s">
        <v>359</v>
      </c>
    </row>
    <row r="12">
      <c r="A12" s="12" t="s">
        <v>360</v>
      </c>
      <c r="B12" s="12">
        <v>1.0</v>
      </c>
      <c r="C12" s="12" t="s">
        <v>340</v>
      </c>
      <c r="D12" s="12" t="s">
        <v>20</v>
      </c>
      <c r="E12" s="12" t="s">
        <v>341</v>
      </c>
      <c r="F12" s="12"/>
      <c r="G12" s="12"/>
      <c r="H12" s="12"/>
      <c r="I12" s="12" t="s">
        <v>361</v>
      </c>
      <c r="J12" s="12" t="s">
        <v>343</v>
      </c>
      <c r="K12" s="12" t="s">
        <v>190</v>
      </c>
      <c r="L12" s="12" t="s">
        <v>190</v>
      </c>
      <c r="M12" s="12" t="s">
        <v>328</v>
      </c>
      <c r="N12" s="12" t="s">
        <v>334</v>
      </c>
      <c r="O12" s="12"/>
      <c r="P12" s="12" t="s">
        <v>344</v>
      </c>
      <c r="Q12" s="12" t="s">
        <v>362</v>
      </c>
      <c r="R12" s="12"/>
    </row>
    <row r="13">
      <c r="A13" s="12" t="s">
        <v>363</v>
      </c>
      <c r="B13" s="12">
        <v>1.0</v>
      </c>
      <c r="C13" s="12" t="s">
        <v>340</v>
      </c>
      <c r="D13" s="12" t="s">
        <v>7</v>
      </c>
      <c r="E13" s="12" t="s">
        <v>236</v>
      </c>
      <c r="F13" s="12"/>
      <c r="G13" s="12"/>
      <c r="H13" s="12"/>
      <c r="I13" s="12" t="s">
        <v>364</v>
      </c>
      <c r="J13" s="12" t="s">
        <v>349</v>
      </c>
      <c r="K13" s="12" t="s">
        <v>190</v>
      </c>
      <c r="L13" s="12" t="s">
        <v>190</v>
      </c>
      <c r="M13" s="12" t="s">
        <v>328</v>
      </c>
      <c r="N13" s="12" t="s">
        <v>334</v>
      </c>
      <c r="O13" s="12"/>
      <c r="P13" s="12" t="s">
        <v>365</v>
      </c>
      <c r="Q13" s="12" t="s">
        <v>366</v>
      </c>
      <c r="R13" s="12"/>
    </row>
    <row r="14">
      <c r="A14" s="12" t="s">
        <v>367</v>
      </c>
      <c r="B14" s="12">
        <v>2.0</v>
      </c>
      <c r="C14" s="12" t="s">
        <v>325</v>
      </c>
      <c r="D14" s="12" t="s">
        <v>20</v>
      </c>
      <c r="E14" s="12" t="s">
        <v>368</v>
      </c>
      <c r="F14" s="12"/>
      <c r="G14" s="12"/>
      <c r="H14" s="12"/>
      <c r="I14" s="12"/>
      <c r="J14" s="12"/>
      <c r="K14" s="12" t="s">
        <v>190</v>
      </c>
      <c r="L14" s="12" t="s">
        <v>190</v>
      </c>
      <c r="M14" s="12" t="s">
        <v>328</v>
      </c>
      <c r="N14" s="12" t="s">
        <v>334</v>
      </c>
      <c r="O14" s="12"/>
      <c r="P14" s="12" t="s">
        <v>237</v>
      </c>
      <c r="Q14" s="12"/>
      <c r="R14" s="12" t="s">
        <v>369</v>
      </c>
    </row>
    <row r="15">
      <c r="A15" s="12" t="s">
        <v>370</v>
      </c>
      <c r="B15" s="12">
        <v>0.0</v>
      </c>
      <c r="C15" s="12" t="s">
        <v>340</v>
      </c>
      <c r="D15" s="12" t="s">
        <v>7</v>
      </c>
      <c r="E15" s="12" t="s">
        <v>171</v>
      </c>
      <c r="F15" s="12"/>
      <c r="G15" s="12" t="s">
        <v>326</v>
      </c>
      <c r="H15" s="12" t="s">
        <v>164</v>
      </c>
      <c r="I15" s="12" t="s">
        <v>279</v>
      </c>
      <c r="J15" s="12" t="s">
        <v>357</v>
      </c>
      <c r="K15" s="12" t="s">
        <v>190</v>
      </c>
      <c r="L15" s="12" t="s">
        <v>190</v>
      </c>
      <c r="M15" s="12" t="s">
        <v>328</v>
      </c>
      <c r="N15" s="12" t="s">
        <v>237</v>
      </c>
      <c r="O15" s="12"/>
      <c r="P15" s="12" t="s">
        <v>329</v>
      </c>
      <c r="Q15" s="12" t="s">
        <v>371</v>
      </c>
      <c r="R15" s="12"/>
    </row>
    <row r="16">
      <c r="A16" s="12" t="s">
        <v>27</v>
      </c>
      <c r="B16" s="12">
        <v>1.0</v>
      </c>
      <c r="C16" s="12" t="s">
        <v>337</v>
      </c>
      <c r="D16" s="12" t="s">
        <v>111</v>
      </c>
      <c r="E16" s="12" t="s">
        <v>332</v>
      </c>
      <c r="F16" s="12"/>
      <c r="G16" s="12"/>
      <c r="H16" s="12"/>
      <c r="I16" s="12"/>
      <c r="J16" s="12" t="s">
        <v>372</v>
      </c>
      <c r="K16" s="12" t="s">
        <v>190</v>
      </c>
      <c r="L16" s="12" t="s">
        <v>190</v>
      </c>
      <c r="M16" s="12" t="s">
        <v>373</v>
      </c>
      <c r="N16" s="12" t="s">
        <v>334</v>
      </c>
      <c r="O16" s="12" t="s">
        <v>372</v>
      </c>
      <c r="P16" s="12" t="s">
        <v>237</v>
      </c>
      <c r="Q16" s="12"/>
      <c r="R16" s="12" t="s">
        <v>374</v>
      </c>
    </row>
    <row r="17">
      <c r="A17" s="12" t="s">
        <v>375</v>
      </c>
      <c r="B17" s="12">
        <v>1.0</v>
      </c>
      <c r="C17" s="12" t="s">
        <v>331</v>
      </c>
      <c r="D17" s="12" t="s">
        <v>111</v>
      </c>
      <c r="E17" s="12" t="s">
        <v>332</v>
      </c>
      <c r="F17" s="12"/>
      <c r="G17" s="12"/>
      <c r="H17" s="12"/>
      <c r="I17" s="12"/>
      <c r="J17" s="12" t="s">
        <v>111</v>
      </c>
      <c r="K17" s="12" t="s">
        <v>190</v>
      </c>
      <c r="L17" s="12" t="s">
        <v>190</v>
      </c>
      <c r="M17" s="12" t="s">
        <v>328</v>
      </c>
      <c r="N17" s="12" t="s">
        <v>334</v>
      </c>
      <c r="O17" s="12"/>
      <c r="P17" s="12" t="s">
        <v>237</v>
      </c>
      <c r="Q17" s="12"/>
      <c r="R17" s="12" t="s">
        <v>376</v>
      </c>
    </row>
    <row r="18">
      <c r="A18" s="12" t="s">
        <v>377</v>
      </c>
      <c r="B18" s="12"/>
      <c r="C18" s="12"/>
      <c r="D18" s="12"/>
      <c r="E18" s="12"/>
      <c r="F18" s="12"/>
      <c r="G18" s="12"/>
      <c r="H18" s="12"/>
      <c r="I18" s="12"/>
      <c r="J18" s="12"/>
      <c r="K18" s="12"/>
      <c r="L18" s="12"/>
      <c r="M18" s="12"/>
      <c r="N18" s="12"/>
      <c r="O18" s="12"/>
      <c r="P18" s="12"/>
      <c r="Q18" s="12"/>
      <c r="R18" s="12"/>
    </row>
    <row r="19">
      <c r="A19" s="12" t="s">
        <v>378</v>
      </c>
      <c r="B19" s="12"/>
      <c r="C19" s="12"/>
      <c r="D19" s="12"/>
      <c r="E19" s="12"/>
      <c r="F19" s="12"/>
      <c r="G19" s="12"/>
      <c r="H19" s="12"/>
      <c r="I19" s="12"/>
      <c r="J19" s="12"/>
      <c r="K19" s="12"/>
      <c r="L19" s="12"/>
      <c r="M19" s="12"/>
      <c r="N19" s="12"/>
      <c r="O19" s="12"/>
      <c r="P19" s="12"/>
      <c r="Q19" s="12"/>
      <c r="R19" s="12"/>
    </row>
    <row r="20">
      <c r="A20" s="12" t="s">
        <v>379</v>
      </c>
      <c r="B20" s="12"/>
      <c r="C20" s="12"/>
      <c r="D20" s="12"/>
      <c r="E20" s="12"/>
      <c r="F20" s="12"/>
      <c r="G20" s="12"/>
      <c r="H20" s="12"/>
      <c r="I20" s="12"/>
      <c r="J20" s="12"/>
      <c r="K20" s="12"/>
      <c r="L20" s="12"/>
      <c r="M20" s="12"/>
      <c r="N20" s="12"/>
      <c r="O20" s="12"/>
      <c r="P20" s="12"/>
      <c r="Q20" s="12"/>
      <c r="R20"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R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22.0"/>
    <col customWidth="1" min="3" max="3" width="50.0"/>
    <col customWidth="1" min="4" max="26" width="8.71"/>
  </cols>
  <sheetData>
    <row r="1">
      <c r="A1" s="1" t="s">
        <v>380</v>
      </c>
      <c r="B1" s="3"/>
      <c r="C1" s="5"/>
    </row>
    <row r="3">
      <c r="A3" s="15" t="s">
        <v>381</v>
      </c>
      <c r="B3" s="15" t="s">
        <v>199</v>
      </c>
      <c r="C3" s="15" t="s">
        <v>68</v>
      </c>
    </row>
    <row r="4">
      <c r="A4" s="12" t="s">
        <v>382</v>
      </c>
      <c r="B4" s="12" t="s">
        <v>383</v>
      </c>
      <c r="C4" s="12" t="s">
        <v>384</v>
      </c>
    </row>
    <row r="5">
      <c r="A5" s="12" t="s">
        <v>385</v>
      </c>
      <c r="B5" s="12"/>
      <c r="C5" s="12" t="s">
        <v>386</v>
      </c>
    </row>
    <row r="6">
      <c r="A6" s="12" t="s">
        <v>387</v>
      </c>
      <c r="B6" s="12" t="s">
        <v>388</v>
      </c>
      <c r="C6" s="12" t="s">
        <v>389</v>
      </c>
    </row>
    <row r="7">
      <c r="A7" s="12" t="s">
        <v>390</v>
      </c>
      <c r="B7" s="12" t="s">
        <v>391</v>
      </c>
      <c r="C7" s="12" t="s">
        <v>392</v>
      </c>
    </row>
    <row r="8">
      <c r="A8" s="12" t="s">
        <v>393</v>
      </c>
      <c r="B8" s="12">
        <v>50.0</v>
      </c>
      <c r="C8" s="12" t="s">
        <v>394</v>
      </c>
    </row>
    <row r="9">
      <c r="A9" s="12" t="s">
        <v>395</v>
      </c>
      <c r="B9" s="12" t="s">
        <v>73</v>
      </c>
      <c r="C9" s="12" t="s">
        <v>396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7" width="20.0"/>
    <col customWidth="1" min="8" max="26" width="8.71"/>
  </cols>
  <sheetData>
    <row r="2">
      <c r="B2" s="1" t="s">
        <v>68</v>
      </c>
      <c r="C2" s="3"/>
      <c r="D2" s="3"/>
      <c r="E2" s="3"/>
      <c r="F2" s="3"/>
      <c r="G2" s="5"/>
    </row>
    <row r="4">
      <c r="B4" s="24" t="s">
        <v>397</v>
      </c>
      <c r="C4" s="25"/>
      <c r="D4" s="25"/>
      <c r="E4" s="25"/>
      <c r="F4" s="25"/>
      <c r="G4" s="26"/>
    </row>
    <row r="5">
      <c r="B5" s="27"/>
      <c r="G5" s="28"/>
    </row>
    <row r="6">
      <c r="B6" s="27"/>
      <c r="G6" s="28"/>
    </row>
    <row r="7">
      <c r="B7" s="27"/>
      <c r="G7" s="28"/>
    </row>
    <row r="8">
      <c r="B8" s="27"/>
      <c r="G8" s="28"/>
    </row>
    <row r="9">
      <c r="B9" s="27"/>
      <c r="G9" s="28"/>
    </row>
    <row r="10">
      <c r="B10" s="27"/>
      <c r="G10" s="28"/>
    </row>
    <row r="11">
      <c r="B11" s="27"/>
      <c r="G11" s="28"/>
    </row>
    <row r="12">
      <c r="B12" s="27"/>
      <c r="G12" s="28"/>
    </row>
    <row r="13">
      <c r="B13" s="27"/>
      <c r="G13" s="28"/>
    </row>
    <row r="14">
      <c r="B14" s="27"/>
      <c r="G14" s="28"/>
    </row>
    <row r="15">
      <c r="B15" s="27"/>
      <c r="G15" s="28"/>
    </row>
    <row r="16">
      <c r="B16" s="27"/>
      <c r="G16" s="28"/>
    </row>
    <row r="17">
      <c r="B17" s="27"/>
      <c r="G17" s="28"/>
    </row>
    <row r="18">
      <c r="B18" s="27"/>
      <c r="G18" s="28"/>
    </row>
    <row r="19">
      <c r="B19" s="27"/>
      <c r="G19" s="28"/>
    </row>
    <row r="20">
      <c r="B20" s="27"/>
      <c r="G20" s="28"/>
    </row>
    <row r="21" ht="15.75" customHeight="1">
      <c r="B21" s="27"/>
      <c r="G21" s="28"/>
    </row>
    <row r="22" ht="15.75" customHeight="1">
      <c r="B22" s="29"/>
      <c r="C22" s="30"/>
      <c r="D22" s="30"/>
      <c r="E22" s="30"/>
      <c r="F22" s="30"/>
      <c r="G22" s="3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G2"/>
    <mergeCell ref="B4:G22"/>
  </mergeCells>
  <printOptions/>
  <pageMargins bottom="1.0" footer="0.0" header="0.0" left="0.75" right="0.75" top="1.0"/>
  <pageSetup orientation="landscape"/>
  <drawing r:id="rId1"/>
</worksheet>
</file>